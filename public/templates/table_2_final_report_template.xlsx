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\OneDrive\Рабочий стол\"/>
    </mc:Choice>
  </mc:AlternateContent>
  <xr:revisionPtr revIDLastSave="0" documentId="13_ncr:1_{81FC1C40-10E8-4D1C-91C1-1AC8A325DA79}" xr6:coauthVersionLast="47" xr6:coauthVersionMax="47" xr10:uidLastSave="{00000000-0000-0000-0000-000000000000}"/>
  <bookViews>
    <workbookView xWindow="-120" yWindow="-120" windowWidth="29040" windowHeight="15720" tabRatio="686" firstSheet="1" activeTab="8" xr2:uid="{00000000-000D-0000-FFFF-FFFF00000000}"/>
  </bookViews>
  <sheets>
    <sheet name="ВЕРЕСЕНЬ_2025" sheetId="5" r:id="rId1"/>
    <sheet name="ЖОВТЕНЬ_2025" sheetId="3" r:id="rId2"/>
    <sheet name="ЛИСТОПАД_2025" sheetId="7" r:id="rId3"/>
    <sheet name="ГРУДЕНЬ_2025" sheetId="8" r:id="rId4"/>
    <sheet name="СІЧЕНЬ_2026" sheetId="9" r:id="rId5"/>
    <sheet name="ЛЮТИЙ_2026" sheetId="11" r:id="rId6"/>
    <sheet name="БЕРЕЗЕНЬ_2026" sheetId="12" r:id="rId7"/>
    <sheet name="РАЗОМ" sheetId="13" state="hidden" r:id="rId8"/>
    <sheet name="КВІТЕНЬ_2026" sheetId="15" r:id="rId9"/>
    <sheet name="КВІТЕНЬ_2026 (АРБІТРАЖ)" sheetId="16" state="hidden" r:id="rId10"/>
    <sheet name="ТРАВЕНЬ_2026 (АРБІТРАЖ)" sheetId="17" state="hidden" r:id="rId11"/>
    <sheet name="ОБСЯГИ" sheetId="14" state="hidden" r:id="rId12"/>
    <sheet name="ОБСЯГ_ВДР_РДН" sheetId="18" state="hidden" r:id="rId13"/>
    <sheet name="ВАРТІСТЬ_ВДР_РДН" sheetId="20" state="hidden" r:id="rId14"/>
    <sheet name="СКОРОЧЕНО (3 квартал 2)" sheetId="10" state="hidden" r:id="rId15"/>
    <sheet name="СКОРОЧЕНО (СВОД)" sheetId="6" state="hidden" r:id="rId16"/>
  </sheets>
  <definedNames>
    <definedName name="_xlnm.Print_Area" localSheetId="6">БЕРЕЗЕНЬ_2026!$A$1:$E$35</definedName>
    <definedName name="_xlnm.Print_Area" localSheetId="13">ВАРТІСТЬ_ВДР_РДН!$A$1:$I$25</definedName>
    <definedName name="_xlnm.Print_Area" localSheetId="0">ВЕРЕСЕНЬ_2025!$A$1:$E$31</definedName>
    <definedName name="_xlnm.Print_Area" localSheetId="3">ГРУДЕНЬ_2025!$A$1:$E$31</definedName>
    <definedName name="_xlnm.Print_Area" localSheetId="1">ЖОВТЕНЬ_2025!$A$1:$E$31</definedName>
    <definedName name="_xlnm.Print_Area" localSheetId="8">КВІТЕНЬ_2026!$A$1:$E$35</definedName>
    <definedName name="_xlnm.Print_Area" localSheetId="9">'КВІТЕНЬ_2026 (АРБІТРАЖ)'!$A$1:$E$29</definedName>
    <definedName name="_xlnm.Print_Area" localSheetId="2">ЛИСТОПАД_2025!$A$1:$E$31</definedName>
    <definedName name="_xlnm.Print_Area" localSheetId="5">ЛЮТИЙ_2026!$A$1:$E$31</definedName>
    <definedName name="_xlnm.Print_Area" localSheetId="7">РАЗОМ!$A$1:$AD$31</definedName>
    <definedName name="_xlnm.Print_Area" localSheetId="4">СІЧЕНЬ_2026!$A$1:$E$31</definedName>
    <definedName name="_xlnm.Print_Area" localSheetId="14">'СКОРОЧЕНО (3 квартал 2)'!$A$1:$E$31</definedName>
    <definedName name="_xlnm.Print_Area" localSheetId="15">'СКОРОЧЕНО (СВОД)'!$A$1:$E$31</definedName>
    <definedName name="_xlnm.Print_Area" localSheetId="10">'ТРАВЕНЬ_2026 (АРБІТРАЖ)'!$A$1:$E$29</definedName>
  </definedNames>
  <calcPr calcId="191029"/>
</workbook>
</file>

<file path=xl/calcChain.xml><?xml version="1.0" encoding="utf-8"?>
<calcChain xmlns="http://schemas.openxmlformats.org/spreadsheetml/2006/main">
  <c r="D26" i="15" l="1"/>
  <c r="E13" i="15"/>
  <c r="D16" i="15"/>
  <c r="D13" i="15"/>
  <c r="B11" i="15"/>
  <c r="D4" i="15"/>
  <c r="E8" i="15"/>
  <c r="B12" i="18"/>
  <c r="I21" i="20"/>
  <c r="H21" i="20"/>
  <c r="G21" i="20"/>
  <c r="F21" i="20"/>
  <c r="F25" i="20" s="1"/>
  <c r="E21" i="20"/>
  <c r="D21" i="20"/>
  <c r="C21" i="20"/>
  <c r="B21" i="20"/>
  <c r="I17" i="20"/>
  <c r="H17" i="20"/>
  <c r="G17" i="20"/>
  <c r="F17" i="20"/>
  <c r="E17" i="20"/>
  <c r="D17" i="20"/>
  <c r="C17" i="20"/>
  <c r="B17" i="20"/>
  <c r="I25" i="20"/>
  <c r="H25" i="20"/>
  <c r="G25" i="20"/>
  <c r="E25" i="20"/>
  <c r="D25" i="20"/>
  <c r="C25" i="20"/>
  <c r="B25" i="20"/>
  <c r="C12" i="20"/>
  <c r="D12" i="20"/>
  <c r="E12" i="20"/>
  <c r="F12" i="20"/>
  <c r="G12" i="20"/>
  <c r="H12" i="20"/>
  <c r="I12" i="20"/>
  <c r="B12" i="20"/>
  <c r="C8" i="20"/>
  <c r="D8" i="20"/>
  <c r="E8" i="20"/>
  <c r="F8" i="20"/>
  <c r="G8" i="20"/>
  <c r="H8" i="20"/>
  <c r="I8" i="20"/>
  <c r="B8" i="20"/>
  <c r="C4" i="20"/>
  <c r="D4" i="20"/>
  <c r="E4" i="20"/>
  <c r="F4" i="20"/>
  <c r="G4" i="20"/>
  <c r="H4" i="20"/>
  <c r="I4" i="20"/>
  <c r="B4" i="20"/>
  <c r="B25" i="18"/>
  <c r="B21" i="18"/>
  <c r="C21" i="18"/>
  <c r="D21" i="18"/>
  <c r="E21" i="18"/>
  <c r="F21" i="18"/>
  <c r="F25" i="18" s="1"/>
  <c r="G21" i="18"/>
  <c r="H21" i="18"/>
  <c r="I21" i="18"/>
  <c r="B17" i="18"/>
  <c r="C17" i="18"/>
  <c r="D17" i="18"/>
  <c r="E17" i="18"/>
  <c r="F17" i="18"/>
  <c r="G17" i="18"/>
  <c r="H17" i="18"/>
  <c r="I17" i="18"/>
  <c r="B8" i="18"/>
  <c r="C8" i="18"/>
  <c r="C12" i="18" s="1"/>
  <c r="D8" i="18"/>
  <c r="E8" i="18"/>
  <c r="E12" i="18" s="1"/>
  <c r="F8" i="18"/>
  <c r="F12" i="18" s="1"/>
  <c r="G8" i="18"/>
  <c r="H8" i="18"/>
  <c r="I8" i="18"/>
  <c r="H4" i="18"/>
  <c r="H12" i="18" s="1"/>
  <c r="I4" i="18"/>
  <c r="B4" i="18"/>
  <c r="C4" i="18"/>
  <c r="D4" i="18"/>
  <c r="E4" i="18"/>
  <c r="F4" i="18"/>
  <c r="G4" i="18"/>
  <c r="C27" i="17"/>
  <c r="C26" i="17"/>
  <c r="C23" i="17"/>
  <c r="G25" i="18" l="1"/>
  <c r="I12" i="18"/>
  <c r="D25" i="18"/>
  <c r="C25" i="18"/>
  <c r="D12" i="18"/>
  <c r="E25" i="18"/>
  <c r="G12" i="18"/>
  <c r="I25" i="18"/>
  <c r="H25" i="18"/>
  <c r="C12" i="17"/>
  <c r="C11" i="17"/>
  <c r="C8" i="17"/>
  <c r="D28" i="17"/>
  <c r="E28" i="17" s="1"/>
  <c r="G27" i="17"/>
  <c r="D27" i="17"/>
  <c r="E27" i="17" s="1"/>
  <c r="G26" i="17"/>
  <c r="D26" i="17"/>
  <c r="E26" i="17" s="1"/>
  <c r="B24" i="17"/>
  <c r="G23" i="17"/>
  <c r="D23" i="17"/>
  <c r="E23" i="17" s="1"/>
  <c r="G22" i="17"/>
  <c r="G19" i="17" s="1"/>
  <c r="D22" i="17"/>
  <c r="E22" i="17" s="1"/>
  <c r="D21" i="17"/>
  <c r="E21" i="17" s="1"/>
  <c r="B19" i="17"/>
  <c r="D13" i="17"/>
  <c r="E13" i="17" s="1"/>
  <c r="G12" i="17"/>
  <c r="D12" i="17"/>
  <c r="E12" i="17" s="1"/>
  <c r="G11" i="17"/>
  <c r="D11" i="17"/>
  <c r="E11" i="17" s="1"/>
  <c r="B9" i="17"/>
  <c r="G8" i="17"/>
  <c r="D8" i="17"/>
  <c r="E8" i="17" s="1"/>
  <c r="G7" i="17"/>
  <c r="G4" i="17" s="1"/>
  <c r="D7" i="17"/>
  <c r="E7" i="17" s="1"/>
  <c r="E6" i="17"/>
  <c r="D6" i="17"/>
  <c r="B4" i="17"/>
  <c r="B29" i="17" l="1"/>
  <c r="B14" i="17"/>
  <c r="G9" i="17"/>
  <c r="D4" i="17"/>
  <c r="C4" i="17" s="1"/>
  <c r="D24" i="17"/>
  <c r="C24" i="17" s="1"/>
  <c r="G24" i="17"/>
  <c r="E9" i="17"/>
  <c r="E4" i="17"/>
  <c r="G14" i="17"/>
  <c r="E19" i="17"/>
  <c r="G29" i="17"/>
  <c r="E24" i="17"/>
  <c r="D9" i="17"/>
  <c r="D19" i="17"/>
  <c r="C19" i="17" s="1"/>
  <c r="E14" i="17" l="1"/>
  <c r="C29" i="17"/>
  <c r="D29" i="17"/>
  <c r="D14" i="17"/>
  <c r="C9" i="17"/>
  <c r="C14" i="17" s="1"/>
  <c r="E29" i="17"/>
  <c r="D28" i="16" l="1"/>
  <c r="E28" i="16" s="1"/>
  <c r="G27" i="16"/>
  <c r="D27" i="16"/>
  <c r="E27" i="16" s="1"/>
  <c r="G26" i="16"/>
  <c r="G24" i="16" s="1"/>
  <c r="D26" i="16"/>
  <c r="E26" i="16" s="1"/>
  <c r="B24" i="16"/>
  <c r="G23" i="16"/>
  <c r="D23" i="16"/>
  <c r="E23" i="16" s="1"/>
  <c r="G22" i="16"/>
  <c r="D22" i="16"/>
  <c r="E22" i="16" s="1"/>
  <c r="D21" i="16"/>
  <c r="E21" i="16" s="1"/>
  <c r="B19" i="16"/>
  <c r="D13" i="16"/>
  <c r="E13" i="16" s="1"/>
  <c r="G12" i="16"/>
  <c r="D12" i="16"/>
  <c r="E12" i="16" s="1"/>
  <c r="G11" i="16"/>
  <c r="D11" i="16"/>
  <c r="E11" i="16" s="1"/>
  <c r="B9" i="16"/>
  <c r="G8" i="16"/>
  <c r="D8" i="16"/>
  <c r="E8" i="16" s="1"/>
  <c r="G7" i="16"/>
  <c r="D7" i="16"/>
  <c r="E7" i="16" s="1"/>
  <c r="D6" i="16"/>
  <c r="E6" i="16" s="1"/>
  <c r="B4" i="16"/>
  <c r="D34" i="15"/>
  <c r="E34" i="15" s="1"/>
  <c r="D33" i="15"/>
  <c r="E33" i="15" s="1"/>
  <c r="D32" i="15"/>
  <c r="E32" i="15" s="1"/>
  <c r="D31" i="15"/>
  <c r="B29" i="15"/>
  <c r="D28" i="15"/>
  <c r="E28" i="15" s="1"/>
  <c r="D27" i="15"/>
  <c r="E27" i="15" s="1"/>
  <c r="E26" i="15"/>
  <c r="D25" i="15"/>
  <c r="E25" i="15" s="1"/>
  <c r="D24" i="15"/>
  <c r="E24" i="15" s="1"/>
  <c r="B22" i="15"/>
  <c r="E16" i="15"/>
  <c r="D15" i="15"/>
  <c r="E15" i="15" s="1"/>
  <c r="D14" i="15"/>
  <c r="E14" i="15" s="1"/>
  <c r="D10" i="15"/>
  <c r="E10" i="15" s="1"/>
  <c r="D9" i="15"/>
  <c r="E9" i="15" s="1"/>
  <c r="D8" i="15"/>
  <c r="D7" i="15"/>
  <c r="E7" i="15" s="1"/>
  <c r="D6" i="15"/>
  <c r="E6" i="15" s="1"/>
  <c r="B4" i="15"/>
  <c r="H29" i="14"/>
  <c r="H22" i="14"/>
  <c r="H11" i="14"/>
  <c r="H4" i="14"/>
  <c r="G9" i="16" l="1"/>
  <c r="G4" i="16"/>
  <c r="B29" i="16"/>
  <c r="E19" i="16"/>
  <c r="E24" i="16"/>
  <c r="B14" i="16"/>
  <c r="G19" i="16"/>
  <c r="G29" i="16" s="1"/>
  <c r="G14" i="16"/>
  <c r="E4" i="16"/>
  <c r="E9" i="16"/>
  <c r="D9" i="16"/>
  <c r="D24" i="16"/>
  <c r="D4" i="16"/>
  <c r="C4" i="16" s="1"/>
  <c r="D19" i="16"/>
  <c r="C19" i="16" s="1"/>
  <c r="D29" i="15"/>
  <c r="C29" i="15" s="1"/>
  <c r="E22" i="15"/>
  <c r="E4" i="15"/>
  <c r="B35" i="15"/>
  <c r="D11" i="15"/>
  <c r="C11" i="15" s="1"/>
  <c r="B17" i="15"/>
  <c r="E11" i="15"/>
  <c r="E31" i="15"/>
  <c r="E29" i="15" s="1"/>
  <c r="D22" i="15"/>
  <c r="C22" i="15" s="1"/>
  <c r="C4" i="15"/>
  <c r="H17" i="14"/>
  <c r="H35" i="14"/>
  <c r="E29" i="16" l="1"/>
  <c r="E14" i="16"/>
  <c r="D29" i="16"/>
  <c r="C24" i="16"/>
  <c r="C29" i="16" s="1"/>
  <c r="D14" i="16"/>
  <c r="C9" i="16"/>
  <c r="C14" i="16" s="1"/>
  <c r="E35" i="15"/>
  <c r="E17" i="15"/>
  <c r="D35" i="15"/>
  <c r="C17" i="15"/>
  <c r="D17" i="15"/>
  <c r="C35" i="15"/>
  <c r="G32" i="12"/>
  <c r="G31" i="12"/>
  <c r="G29" i="12"/>
  <c r="G27" i="12"/>
  <c r="G26" i="12"/>
  <c r="G25" i="12"/>
  <c r="G22" i="12"/>
  <c r="G35" i="12" s="1"/>
  <c r="G9" i="12" l="1"/>
  <c r="H28" i="12" l="1"/>
  <c r="H34" i="12"/>
  <c r="D33" i="12" l="1"/>
  <c r="E33" i="12" s="1"/>
  <c r="D27" i="12"/>
  <c r="E27" i="12" s="1"/>
  <c r="D9" i="12"/>
  <c r="E9" i="12" s="1"/>
  <c r="D15" i="12"/>
  <c r="E15" i="12" s="1"/>
  <c r="H16" i="12"/>
  <c r="H10" i="12"/>
  <c r="G14" i="12" l="1"/>
  <c r="G13" i="12"/>
  <c r="G11" i="12" s="1"/>
  <c r="G8" i="12"/>
  <c r="G7" i="12"/>
  <c r="G4" i="12" s="1"/>
  <c r="B11" i="12"/>
  <c r="G17" i="12" l="1"/>
  <c r="G29" i="14"/>
  <c r="G22" i="14"/>
  <c r="G11" i="14"/>
  <c r="G4" i="14"/>
  <c r="F29" i="14"/>
  <c r="F22" i="14"/>
  <c r="F11" i="14"/>
  <c r="F4" i="14"/>
  <c r="E29" i="14"/>
  <c r="E22" i="14"/>
  <c r="E11" i="14"/>
  <c r="E17" i="14" s="1"/>
  <c r="E4" i="14"/>
  <c r="F17" i="14" l="1"/>
  <c r="G17" i="14"/>
  <c r="G35" i="14"/>
  <c r="E35" i="14"/>
  <c r="F35" i="14"/>
  <c r="D34" i="12"/>
  <c r="E34" i="12" s="1"/>
  <c r="D32" i="12"/>
  <c r="D31" i="12"/>
  <c r="E31" i="12" s="1"/>
  <c r="B29" i="12"/>
  <c r="D28" i="12"/>
  <c r="E28" i="12" s="1"/>
  <c r="D26" i="12"/>
  <c r="E26" i="12" s="1"/>
  <c r="D25" i="12"/>
  <c r="E25" i="12" s="1"/>
  <c r="D24" i="12"/>
  <c r="E24" i="12" s="1"/>
  <c r="B22" i="12"/>
  <c r="D16" i="12"/>
  <c r="E16" i="12" s="1"/>
  <c r="D14" i="12"/>
  <c r="E14" i="12" s="1"/>
  <c r="D13" i="12"/>
  <c r="D10" i="12"/>
  <c r="E10" i="12" s="1"/>
  <c r="D8" i="12"/>
  <c r="E8" i="12" s="1"/>
  <c r="D7" i="12"/>
  <c r="E7" i="12" s="1"/>
  <c r="D6" i="12"/>
  <c r="B4" i="12"/>
  <c r="D22" i="12" l="1"/>
  <c r="C22" i="12" s="1"/>
  <c r="B35" i="12"/>
  <c r="D29" i="12"/>
  <c r="D11" i="12"/>
  <c r="C11" i="12" s="1"/>
  <c r="D4" i="12"/>
  <c r="C4" i="12" s="1"/>
  <c r="B17" i="12"/>
  <c r="E22" i="12"/>
  <c r="E6" i="12"/>
  <c r="E4" i="12" s="1"/>
  <c r="E13" i="12"/>
  <c r="E11" i="12" s="1"/>
  <c r="E32" i="12"/>
  <c r="E29" i="12" s="1"/>
  <c r="D30" i="11"/>
  <c r="E30" i="11" s="1"/>
  <c r="D29" i="11"/>
  <c r="E29" i="11" s="1"/>
  <c r="D28" i="11"/>
  <c r="E28" i="11" s="1"/>
  <c r="B26" i="11"/>
  <c r="D25" i="11"/>
  <c r="E25" i="11" s="1"/>
  <c r="D24" i="11"/>
  <c r="E24" i="11" s="1"/>
  <c r="D23" i="11"/>
  <c r="E23" i="11" s="1"/>
  <c r="D22" i="11"/>
  <c r="E22" i="11" s="1"/>
  <c r="B20" i="11"/>
  <c r="D14" i="11"/>
  <c r="E14" i="11" s="1"/>
  <c r="D13" i="11"/>
  <c r="E13" i="11" s="1"/>
  <c r="D12" i="11"/>
  <c r="B10" i="11"/>
  <c r="D9" i="11"/>
  <c r="E9" i="11" s="1"/>
  <c r="D8" i="11"/>
  <c r="E8" i="11" s="1"/>
  <c r="D7" i="11"/>
  <c r="E7" i="11" s="1"/>
  <c r="D6" i="11"/>
  <c r="B4" i="11"/>
  <c r="E13" i="9"/>
  <c r="E12" i="9"/>
  <c r="E8" i="9"/>
  <c r="E7" i="9"/>
  <c r="G30" i="10"/>
  <c r="G29" i="10"/>
  <c r="G28" i="10"/>
  <c r="G14" i="10"/>
  <c r="G13" i="10"/>
  <c r="G12" i="10"/>
  <c r="D35" i="12" l="1"/>
  <c r="D17" i="12"/>
  <c r="C17" i="12"/>
  <c r="C29" i="12"/>
  <c r="C35" i="12" s="1"/>
  <c r="E35" i="12"/>
  <c r="E17" i="12"/>
  <c r="E26" i="11"/>
  <c r="D26" i="11"/>
  <c r="C26" i="11" s="1"/>
  <c r="D10" i="11"/>
  <c r="C10" i="11" s="1"/>
  <c r="D4" i="11"/>
  <c r="C4" i="11" s="1"/>
  <c r="B31" i="11"/>
  <c r="D20" i="11"/>
  <c r="C20" i="11" s="1"/>
  <c r="B15" i="11"/>
  <c r="E20" i="11"/>
  <c r="E6" i="11"/>
  <c r="E4" i="11" s="1"/>
  <c r="E12" i="11"/>
  <c r="E10" i="11" s="1"/>
  <c r="E30" i="10"/>
  <c r="D30" i="10"/>
  <c r="E29" i="10"/>
  <c r="D29" i="10"/>
  <c r="D26" i="10" s="1"/>
  <c r="D31" i="10" s="1"/>
  <c r="E28" i="10"/>
  <c r="D28" i="10"/>
  <c r="B30" i="10"/>
  <c r="B29" i="10"/>
  <c r="B28" i="10"/>
  <c r="E25" i="10"/>
  <c r="D25" i="10"/>
  <c r="E24" i="10"/>
  <c r="D24" i="10"/>
  <c r="E23" i="10"/>
  <c r="D23" i="10"/>
  <c r="E22" i="10"/>
  <c r="D22" i="10"/>
  <c r="B25" i="10"/>
  <c r="B24" i="10"/>
  <c r="B23" i="10"/>
  <c r="B20" i="10" s="1"/>
  <c r="B22" i="10"/>
  <c r="E14" i="10"/>
  <c r="E13" i="10"/>
  <c r="E12" i="10"/>
  <c r="E10" i="10" s="1"/>
  <c r="D14" i="10"/>
  <c r="C14" i="10" s="1"/>
  <c r="D13" i="10"/>
  <c r="D12" i="10"/>
  <c r="B14" i="10"/>
  <c r="B13" i="10"/>
  <c r="B10" i="10" s="1"/>
  <c r="B12" i="10"/>
  <c r="E9" i="10"/>
  <c r="E8" i="10"/>
  <c r="E7" i="10"/>
  <c r="E6" i="10"/>
  <c r="D9" i="10"/>
  <c r="D8" i="10"/>
  <c r="D7" i="10"/>
  <c r="B9" i="10"/>
  <c r="B8" i="10"/>
  <c r="B7" i="10"/>
  <c r="B6" i="10"/>
  <c r="D6" i="10"/>
  <c r="C6" i="10" s="1"/>
  <c r="C30" i="10"/>
  <c r="C29" i="10"/>
  <c r="E26" i="10"/>
  <c r="C28" i="10"/>
  <c r="B26" i="10"/>
  <c r="C25" i="10"/>
  <c r="C24" i="10"/>
  <c r="E20" i="10"/>
  <c r="C22" i="10"/>
  <c r="D20" i="10"/>
  <c r="C12" i="10"/>
  <c r="C9" i="10"/>
  <c r="C8" i="10"/>
  <c r="C7" i="10"/>
  <c r="B4" i="10"/>
  <c r="E4" i="10"/>
  <c r="E31" i="11" l="1"/>
  <c r="D31" i="11"/>
  <c r="C31" i="11"/>
  <c r="D15" i="11"/>
  <c r="C15" i="11"/>
  <c r="E15" i="11"/>
  <c r="C23" i="10"/>
  <c r="C20" i="10"/>
  <c r="D10" i="10"/>
  <c r="C13" i="10"/>
  <c r="E15" i="10"/>
  <c r="B15" i="10"/>
  <c r="B31" i="10"/>
  <c r="E31" i="10"/>
  <c r="D4" i="10"/>
  <c r="C4" i="10" s="1"/>
  <c r="C10" i="10"/>
  <c r="C26" i="10"/>
  <c r="C31" i="10" s="1"/>
  <c r="E22" i="6"/>
  <c r="D22" i="6"/>
  <c r="B30" i="6"/>
  <c r="B29" i="6"/>
  <c r="B28" i="6"/>
  <c r="B25" i="6"/>
  <c r="B24" i="6"/>
  <c r="B23" i="6"/>
  <c r="B22" i="6"/>
  <c r="B14" i="6"/>
  <c r="B13" i="6"/>
  <c r="B12" i="6"/>
  <c r="D6" i="6"/>
  <c r="B9" i="6"/>
  <c r="B8" i="6"/>
  <c r="B7" i="6"/>
  <c r="B6" i="6"/>
  <c r="D30" i="9"/>
  <c r="D29" i="9"/>
  <c r="D29" i="6" s="1"/>
  <c r="G29" i="6" s="1"/>
  <c r="D28" i="9"/>
  <c r="B26" i="9"/>
  <c r="D25" i="9"/>
  <c r="D24" i="9"/>
  <c r="D23" i="9"/>
  <c r="D23" i="6" s="1"/>
  <c r="E22" i="9"/>
  <c r="D22" i="9"/>
  <c r="B20" i="9"/>
  <c r="D14" i="9"/>
  <c r="D13" i="9"/>
  <c r="D13" i="6" s="1"/>
  <c r="G13" i="6" s="1"/>
  <c r="D12" i="9"/>
  <c r="B10" i="9"/>
  <c r="D9" i="9"/>
  <c r="D8" i="9"/>
  <c r="E8" i="6" s="1"/>
  <c r="D7" i="9"/>
  <c r="E7" i="6" s="1"/>
  <c r="D6" i="9"/>
  <c r="B4" i="9"/>
  <c r="D30" i="8"/>
  <c r="E30" i="8" s="1"/>
  <c r="D29" i="8"/>
  <c r="E29" i="8" s="1"/>
  <c r="D28" i="8"/>
  <c r="E28" i="8" s="1"/>
  <c r="B26" i="8"/>
  <c r="D25" i="8"/>
  <c r="D24" i="8"/>
  <c r="E24" i="8" s="1"/>
  <c r="D23" i="8"/>
  <c r="E23" i="8" s="1"/>
  <c r="D22" i="8"/>
  <c r="E22" i="8" s="1"/>
  <c r="B20" i="8"/>
  <c r="D14" i="8"/>
  <c r="E14" i="8" s="1"/>
  <c r="D13" i="8"/>
  <c r="D12" i="8"/>
  <c r="E12" i="8" s="1"/>
  <c r="B10" i="8"/>
  <c r="D9" i="8"/>
  <c r="D8" i="8"/>
  <c r="E8" i="8" s="1"/>
  <c r="D7" i="8"/>
  <c r="E7" i="8" s="1"/>
  <c r="D6" i="8"/>
  <c r="E6" i="8" s="1"/>
  <c r="B4" i="8"/>
  <c r="D30" i="7"/>
  <c r="E30" i="7" s="1"/>
  <c r="D29" i="7"/>
  <c r="D28" i="7"/>
  <c r="E28" i="7" s="1"/>
  <c r="D25" i="7"/>
  <c r="E25" i="7" s="1"/>
  <c r="D24" i="7"/>
  <c r="E24" i="7" s="1"/>
  <c r="D23" i="7"/>
  <c r="E23" i="7" s="1"/>
  <c r="D22" i="7"/>
  <c r="E22" i="7" s="1"/>
  <c r="D14" i="7"/>
  <c r="E14" i="7" s="1"/>
  <c r="D13" i="7"/>
  <c r="E13" i="7" s="1"/>
  <c r="D12" i="7"/>
  <c r="D9" i="7"/>
  <c r="E9" i="7" s="1"/>
  <c r="D8" i="7"/>
  <c r="E8" i="7" s="1"/>
  <c r="D7" i="7"/>
  <c r="E7" i="7" s="1"/>
  <c r="D6" i="7"/>
  <c r="E6" i="7" s="1"/>
  <c r="B26" i="7"/>
  <c r="B20" i="7"/>
  <c r="B10" i="7"/>
  <c r="B4" i="7"/>
  <c r="D22" i="3"/>
  <c r="E22" i="3" s="1"/>
  <c r="D6" i="3"/>
  <c r="E6" i="3" s="1"/>
  <c r="D30" i="6" l="1"/>
  <c r="G30" i="6" s="1"/>
  <c r="E30" i="9"/>
  <c r="E30" i="6" s="1"/>
  <c r="E25" i="9"/>
  <c r="E25" i="6" s="1"/>
  <c r="E14" i="9"/>
  <c r="E14" i="6" s="1"/>
  <c r="E9" i="9"/>
  <c r="E9" i="6" s="1"/>
  <c r="D9" i="6"/>
  <c r="B31" i="9"/>
  <c r="E28" i="9"/>
  <c r="E28" i="6" s="1"/>
  <c r="E23" i="9"/>
  <c r="E23" i="6" s="1"/>
  <c r="E29" i="9"/>
  <c r="E29" i="6" s="1"/>
  <c r="E24" i="9"/>
  <c r="E24" i="6" s="1"/>
  <c r="E13" i="6"/>
  <c r="D10" i="9"/>
  <c r="D15" i="10"/>
  <c r="C15" i="10"/>
  <c r="D26" i="9"/>
  <c r="C26" i="9" s="1"/>
  <c r="D28" i="6"/>
  <c r="G28" i="6" s="1"/>
  <c r="E20" i="9"/>
  <c r="D25" i="6"/>
  <c r="C25" i="6" s="1"/>
  <c r="D24" i="6"/>
  <c r="C24" i="6" s="1"/>
  <c r="D20" i="9"/>
  <c r="C20" i="9" s="1"/>
  <c r="D12" i="6"/>
  <c r="G12" i="6" s="1"/>
  <c r="D14" i="6"/>
  <c r="G14" i="6" s="1"/>
  <c r="B15" i="9"/>
  <c r="D7" i="6"/>
  <c r="C7" i="6" s="1"/>
  <c r="D4" i="9"/>
  <c r="C4" i="9" s="1"/>
  <c r="D8" i="6"/>
  <c r="C8" i="6" s="1"/>
  <c r="C10" i="9"/>
  <c r="E6" i="9"/>
  <c r="C6" i="6"/>
  <c r="C30" i="6"/>
  <c r="C13" i="6"/>
  <c r="E9" i="8"/>
  <c r="C14" i="6"/>
  <c r="E25" i="8"/>
  <c r="C9" i="6"/>
  <c r="C23" i="6"/>
  <c r="C12" i="6"/>
  <c r="D4" i="8"/>
  <c r="C4" i="8" s="1"/>
  <c r="D26" i="8"/>
  <c r="C26" i="8" s="1"/>
  <c r="E26" i="8"/>
  <c r="C29" i="6"/>
  <c r="C22" i="6"/>
  <c r="D20" i="8"/>
  <c r="C20" i="8" s="1"/>
  <c r="B31" i="8"/>
  <c r="D10" i="8"/>
  <c r="C10" i="8" s="1"/>
  <c r="B15" i="8"/>
  <c r="E13" i="8"/>
  <c r="B15" i="7"/>
  <c r="D26" i="7"/>
  <c r="C26" i="7" s="1"/>
  <c r="D10" i="7"/>
  <c r="C10" i="7" s="1"/>
  <c r="E29" i="7"/>
  <c r="E26" i="7" s="1"/>
  <c r="D20" i="7"/>
  <c r="C20" i="7" s="1"/>
  <c r="E12" i="7"/>
  <c r="E10" i="7" s="1"/>
  <c r="D4" i="7"/>
  <c r="C4" i="7" s="1"/>
  <c r="B31" i="7"/>
  <c r="E4" i="7"/>
  <c r="E20" i="7"/>
  <c r="D6" i="5"/>
  <c r="D22" i="5"/>
  <c r="D30" i="5"/>
  <c r="E30" i="5" s="1"/>
  <c r="D29" i="5"/>
  <c r="E29" i="5" s="1"/>
  <c r="D28" i="5"/>
  <c r="B26" i="5"/>
  <c r="D25" i="5"/>
  <c r="E25" i="5" s="1"/>
  <c r="D24" i="5"/>
  <c r="E24" i="5" s="1"/>
  <c r="D14" i="5"/>
  <c r="E14" i="5" s="1"/>
  <c r="D13" i="5"/>
  <c r="E13" i="5" s="1"/>
  <c r="B10" i="5"/>
  <c r="D9" i="5"/>
  <c r="E9" i="5" s="1"/>
  <c r="D8" i="5"/>
  <c r="E8" i="5" s="1"/>
  <c r="D30" i="3"/>
  <c r="D25" i="3"/>
  <c r="D14" i="3"/>
  <c r="D9" i="3"/>
  <c r="B20" i="3"/>
  <c r="B4" i="3"/>
  <c r="C28" i="6" l="1"/>
  <c r="E26" i="9"/>
  <c r="D31" i="9"/>
  <c r="E31" i="9"/>
  <c r="C31" i="9"/>
  <c r="E10" i="9"/>
  <c r="E12" i="6"/>
  <c r="D15" i="9"/>
  <c r="C15" i="9"/>
  <c r="E4" i="9"/>
  <c r="E6" i="6"/>
  <c r="E20" i="8"/>
  <c r="E4" i="8"/>
  <c r="E31" i="8"/>
  <c r="C31" i="8"/>
  <c r="D31" i="8"/>
  <c r="D15" i="8"/>
  <c r="E10" i="8"/>
  <c r="C15" i="8"/>
  <c r="C31" i="7"/>
  <c r="D31" i="7"/>
  <c r="C15" i="7"/>
  <c r="E31" i="7"/>
  <c r="D15" i="7"/>
  <c r="E15" i="7"/>
  <c r="B4" i="5"/>
  <c r="B15" i="5" s="1"/>
  <c r="B4" i="6"/>
  <c r="E6" i="5"/>
  <c r="B20" i="5"/>
  <c r="B31" i="5" s="1"/>
  <c r="B20" i="6"/>
  <c r="E22" i="5"/>
  <c r="E25" i="3"/>
  <c r="D28" i="3"/>
  <c r="B26" i="6"/>
  <c r="D24" i="3"/>
  <c r="E9" i="3"/>
  <c r="E30" i="3"/>
  <c r="E14" i="3"/>
  <c r="B10" i="3"/>
  <c r="B26" i="3"/>
  <c r="B31" i="3" s="1"/>
  <c r="D26" i="5"/>
  <c r="C26" i="5" s="1"/>
  <c r="D7" i="5"/>
  <c r="D4" i="5" s="1"/>
  <c r="C4" i="5" s="1"/>
  <c r="J4" i="5" s="1"/>
  <c r="D23" i="5"/>
  <c r="D20" i="5" s="1"/>
  <c r="E28" i="5"/>
  <c r="E26" i="5" s="1"/>
  <c r="D12" i="5"/>
  <c r="D23" i="3"/>
  <c r="D7" i="3"/>
  <c r="D12" i="3"/>
  <c r="D29" i="3"/>
  <c r="D8" i="3"/>
  <c r="D13" i="3"/>
  <c r="E15" i="9" l="1"/>
  <c r="E15" i="8"/>
  <c r="B31" i="6"/>
  <c r="E7" i="5"/>
  <c r="D31" i="5"/>
  <c r="C20" i="5"/>
  <c r="J20" i="5" s="1"/>
  <c r="E23" i="5"/>
  <c r="E20" i="5" s="1"/>
  <c r="E31" i="5" s="1"/>
  <c r="E4" i="5"/>
  <c r="B10" i="6"/>
  <c r="B15" i="6" s="1"/>
  <c r="D20" i="3"/>
  <c r="C20" i="3" s="1"/>
  <c r="J20" i="3" s="1"/>
  <c r="D4" i="3"/>
  <c r="B15" i="3"/>
  <c r="E29" i="3"/>
  <c r="E24" i="3"/>
  <c r="E8" i="3"/>
  <c r="E13" i="3"/>
  <c r="C4" i="3"/>
  <c r="J4" i="3" s="1"/>
  <c r="E28" i="3"/>
  <c r="D26" i="6"/>
  <c r="E23" i="3"/>
  <c r="E7" i="3"/>
  <c r="E12" i="3"/>
  <c r="D10" i="3"/>
  <c r="C10" i="3" s="1"/>
  <c r="J26" i="5"/>
  <c r="E12" i="5"/>
  <c r="D10" i="5"/>
  <c r="D15" i="5" s="1"/>
  <c r="D26" i="3"/>
  <c r="C31" i="5" l="1"/>
  <c r="E10" i="5"/>
  <c r="E15" i="5" s="1"/>
  <c r="E10" i="6"/>
  <c r="D10" i="6"/>
  <c r="C10" i="6" s="1"/>
  <c r="E4" i="6"/>
  <c r="E4" i="3"/>
  <c r="D4" i="6"/>
  <c r="C4" i="6" s="1"/>
  <c r="C26" i="6"/>
  <c r="E20" i="3"/>
  <c r="D31" i="3"/>
  <c r="D15" i="3"/>
  <c r="C26" i="3"/>
  <c r="C31" i="3" s="1"/>
  <c r="E10" i="3"/>
  <c r="E15" i="3" s="1"/>
  <c r="E26" i="3"/>
  <c r="E26" i="6"/>
  <c r="J26" i="3"/>
  <c r="C15" i="3"/>
  <c r="J10" i="3"/>
  <c r="C10" i="5"/>
  <c r="C15" i="6" l="1"/>
  <c r="E15" i="6"/>
  <c r="E31" i="3"/>
  <c r="D15" i="6"/>
  <c r="C15" i="5"/>
  <c r="J10" i="5"/>
  <c r="E20" i="6"/>
  <c r="E31" i="6" s="1"/>
  <c r="D20" i="6"/>
  <c r="C20" i="6" s="1"/>
  <c r="C31" i="6" s="1"/>
  <c r="D31" i="6" l="1"/>
</calcChain>
</file>

<file path=xl/sharedStrings.xml><?xml version="1.0" encoding="utf-8"?>
<sst xmlns="http://schemas.openxmlformats.org/spreadsheetml/2006/main" count="789" uniqueCount="46">
  <si>
    <t>Середньозважена ціна,
грн</t>
  </si>
  <si>
    <t>САЛЬДО (продаж- купівля):</t>
  </si>
  <si>
    <t>Купівля 
електроенергії:</t>
  </si>
  <si>
    <t>Продаж 
електроенергії</t>
  </si>
  <si>
    <t>ОПЕРАЦІЯ</t>
  </si>
  <si>
    <t>у т.ч.</t>
  </si>
  <si>
    <t>на ринку РДН</t>
  </si>
  <si>
    <t>на ринку ВДР</t>
  </si>
  <si>
    <t>Вартість 
без ПДВ,
грн</t>
  </si>
  <si>
    <t>Вартість 
з ПДВ,
грн</t>
  </si>
  <si>
    <t>коригування
без ПДВ</t>
  </si>
  <si>
    <t>коригування
з ПДВ</t>
  </si>
  <si>
    <t>ПРИВЕДЕННЯ РОЗРАХУНКІВ
у відповідність до АКТІВ</t>
  </si>
  <si>
    <t>Похибка по середньозваженій ціні</t>
  </si>
  <si>
    <t>електроенергія для врегулювання небалансів (КНЕСС)</t>
  </si>
  <si>
    <t>Обсяг,
МВт*год</t>
  </si>
  <si>
    <t>постачання активної електроенергії (КНЕСС)</t>
  </si>
  <si>
    <r>
      <t xml:space="preserve">ЗВІТ
з купівлі-продажу електроенергії 
УЗЕ ТОВ ”ЗНАМЕНСЬКА БЕСС”- </t>
    </r>
    <r>
      <rPr>
        <b/>
        <sz val="16"/>
        <color theme="1"/>
        <rFont val="Times New Roman"/>
        <family val="1"/>
        <charset val="204"/>
      </rPr>
      <t>10,32180 МВт*год</t>
    </r>
    <r>
      <rPr>
        <b/>
        <sz val="16"/>
        <color rgb="FF002060"/>
        <rFont val="Times New Roman"/>
        <family val="1"/>
        <charset val="204"/>
      </rPr>
      <t xml:space="preserve">
на ринках електроенергії РДН/ВДР та у балансуючій групі КНЕСС
</t>
    </r>
    <r>
      <rPr>
        <b/>
        <sz val="16"/>
        <color rgb="FFC00000"/>
        <rFont val="Times New Roman"/>
        <family val="1"/>
        <charset val="204"/>
      </rPr>
      <t xml:space="preserve"> у жовтні 2025 року</t>
    </r>
  </si>
  <si>
    <r>
      <t xml:space="preserve">ЗВІТ
з купівлі-продажу електроенергії 
УЗЕ ТОВ ”ОЛЕКСАНДРІЙСЬКА БЕСС”- </t>
    </r>
    <r>
      <rPr>
        <b/>
        <sz val="16"/>
        <color theme="1"/>
        <rFont val="Times New Roman"/>
        <family val="1"/>
        <charset val="204"/>
      </rPr>
      <t>15,33776 МВт*год</t>
    </r>
    <r>
      <rPr>
        <b/>
        <sz val="16"/>
        <color rgb="FF002060"/>
        <rFont val="Times New Roman"/>
        <family val="1"/>
        <charset val="204"/>
      </rPr>
      <t xml:space="preserve">
на ринках електроенергії РДН/ВДР та у балансуючій групі КНЕСС
</t>
    </r>
    <r>
      <rPr>
        <b/>
        <sz val="16"/>
        <color rgb="FFC00000"/>
        <rFont val="Times New Roman"/>
        <family val="1"/>
        <charset val="204"/>
      </rPr>
      <t xml:space="preserve"> у жовтні 2025 року</t>
    </r>
  </si>
  <si>
    <r>
      <t xml:space="preserve">ЗВІТ
з купівлі-продажу електроенергії 
УЗЕ ТОВ ”ЗНАМЕНСЬКА БЕСС”- </t>
    </r>
    <r>
      <rPr>
        <b/>
        <sz val="16"/>
        <color theme="1"/>
        <rFont val="Times New Roman"/>
        <family val="1"/>
        <charset val="204"/>
      </rPr>
      <t>10,32180 МВт*год</t>
    </r>
    <r>
      <rPr>
        <b/>
        <sz val="16"/>
        <color rgb="FF002060"/>
        <rFont val="Times New Roman"/>
        <family val="1"/>
        <charset val="204"/>
      </rPr>
      <t xml:space="preserve">
на ринках електроенергії РДН/ВДР та у балансуючій групі КНЕСС
</t>
    </r>
    <r>
      <rPr>
        <b/>
        <sz val="16"/>
        <color rgb="FFC00000"/>
        <rFont val="Times New Roman"/>
        <family val="1"/>
        <charset val="204"/>
      </rPr>
      <t xml:space="preserve"> у вересні 2025 року</t>
    </r>
  </si>
  <si>
    <r>
      <t xml:space="preserve">ЗВІТ
з купівлі-продажу електроенергії 
УЗЕ ТОВ ”ОЛЕКСАНДРІЙСЬКА БЕСС”- </t>
    </r>
    <r>
      <rPr>
        <b/>
        <sz val="16"/>
        <color theme="1"/>
        <rFont val="Times New Roman"/>
        <family val="1"/>
        <charset val="204"/>
      </rPr>
      <t>15,33776 МВт*год</t>
    </r>
    <r>
      <rPr>
        <b/>
        <sz val="16"/>
        <color rgb="FF002060"/>
        <rFont val="Times New Roman"/>
        <family val="1"/>
        <charset val="204"/>
      </rPr>
      <t xml:space="preserve">
на ринках електроенергії РДН/ВДР та у балансуючій групі КНЕСС
</t>
    </r>
    <r>
      <rPr>
        <b/>
        <sz val="16"/>
        <color rgb="FFC00000"/>
        <rFont val="Times New Roman"/>
        <family val="1"/>
        <charset val="204"/>
      </rPr>
      <t xml:space="preserve"> у вересні 2025 року</t>
    </r>
  </si>
  <si>
    <r>
      <t xml:space="preserve">ЗВІТ
з купівлі-продажу електроенергії 
УЗЕ ТОВ ”ЗНАМЕНСЬКА БЕСС”- </t>
    </r>
    <r>
      <rPr>
        <b/>
        <sz val="16"/>
        <color theme="1"/>
        <rFont val="Times New Roman"/>
        <family val="1"/>
        <charset val="204"/>
      </rPr>
      <t>10,32180 МВт*год</t>
    </r>
    <r>
      <rPr>
        <b/>
        <sz val="16"/>
        <color rgb="FF002060"/>
        <rFont val="Times New Roman"/>
        <family val="1"/>
        <charset val="204"/>
      </rPr>
      <t xml:space="preserve">
на ринках електроенергії РДН/ВДР та у балансуючій групі КНЕСС
</t>
    </r>
    <r>
      <rPr>
        <b/>
        <sz val="16"/>
        <color rgb="FFC00000"/>
        <rFont val="Times New Roman"/>
        <family val="1"/>
        <charset val="204"/>
      </rPr>
      <t xml:space="preserve"> у листопаді 2025 року</t>
    </r>
  </si>
  <si>
    <r>
      <t xml:space="preserve">ЗВІТ
з купівлі-продажу електроенергії 
УЗЕ ТОВ ”ОЛЕКСАНДРІЙСЬКА БЕСС”- </t>
    </r>
    <r>
      <rPr>
        <b/>
        <sz val="16"/>
        <color theme="1"/>
        <rFont val="Times New Roman"/>
        <family val="1"/>
        <charset val="204"/>
      </rPr>
      <t>15,33776 МВт*год</t>
    </r>
    <r>
      <rPr>
        <b/>
        <sz val="16"/>
        <color rgb="FF002060"/>
        <rFont val="Times New Roman"/>
        <family val="1"/>
        <charset val="204"/>
      </rPr>
      <t xml:space="preserve">
на ринках електроенергії РДН/ВДР та у балансуючій групі КНЕСС
</t>
    </r>
    <r>
      <rPr>
        <b/>
        <sz val="16"/>
        <color rgb="FFC00000"/>
        <rFont val="Times New Roman"/>
        <family val="1"/>
        <charset val="204"/>
      </rPr>
      <t xml:space="preserve"> у листопаді 2025 року</t>
    </r>
  </si>
  <si>
    <r>
      <t xml:space="preserve">ЗВІТ
з купівлі-продажу електроенергії 
УЗЕ ТОВ ”ЗНАМЕНСЬКА БЕСС”- </t>
    </r>
    <r>
      <rPr>
        <b/>
        <sz val="16"/>
        <color theme="1"/>
        <rFont val="Times New Roman"/>
        <family val="1"/>
        <charset val="204"/>
      </rPr>
      <t>10,32180 МВт*год</t>
    </r>
    <r>
      <rPr>
        <b/>
        <sz val="16"/>
        <color rgb="FF002060"/>
        <rFont val="Times New Roman"/>
        <family val="1"/>
        <charset val="204"/>
      </rPr>
      <t xml:space="preserve">
на ринках електроенергії РДН/ВДР та у балансуючій групі КНЕСС
</t>
    </r>
    <r>
      <rPr>
        <b/>
        <sz val="16"/>
        <color rgb="FFC00000"/>
        <rFont val="Times New Roman"/>
        <family val="1"/>
        <charset val="204"/>
      </rPr>
      <t xml:space="preserve"> у грудні 2025 року</t>
    </r>
  </si>
  <si>
    <r>
      <t xml:space="preserve">ЗВІТ
з купівлі-продажу електроенергії 
УЗЕ ТОВ ”ОЛЕКСАНДРІЙСЬКА БЕСС”- </t>
    </r>
    <r>
      <rPr>
        <b/>
        <sz val="16"/>
        <color theme="1"/>
        <rFont val="Times New Roman"/>
        <family val="1"/>
        <charset val="204"/>
      </rPr>
      <t>15,33776 МВт*год</t>
    </r>
    <r>
      <rPr>
        <b/>
        <sz val="16"/>
        <color rgb="FF002060"/>
        <rFont val="Times New Roman"/>
        <family val="1"/>
        <charset val="204"/>
      </rPr>
      <t xml:space="preserve">
на ринках електроенергії РДН/ВДР та у балансуючій групі КНЕСС
</t>
    </r>
    <r>
      <rPr>
        <b/>
        <sz val="16"/>
        <color rgb="FFC00000"/>
        <rFont val="Times New Roman"/>
        <family val="1"/>
        <charset val="204"/>
      </rPr>
      <t xml:space="preserve"> у грудні 2025 року</t>
    </r>
  </si>
  <si>
    <r>
      <t xml:space="preserve">ЗВІТ
з купівлі-продажу електроенергії 
УЗЕ ТОВ ”ЗНАМЕНСЬКА БЕСС”- </t>
    </r>
    <r>
      <rPr>
        <b/>
        <sz val="16"/>
        <color theme="1"/>
        <rFont val="Times New Roman"/>
        <family val="1"/>
        <charset val="204"/>
      </rPr>
      <t>10,32180 МВт*год</t>
    </r>
    <r>
      <rPr>
        <b/>
        <sz val="16"/>
        <color rgb="FF002060"/>
        <rFont val="Times New Roman"/>
        <family val="1"/>
        <charset val="204"/>
      </rPr>
      <t xml:space="preserve">
на ринках електроенергії РДН/ВДР та у балансуючій групі КНЕСС
</t>
    </r>
    <r>
      <rPr>
        <b/>
        <sz val="16"/>
        <color rgb="FFC00000"/>
        <rFont val="Times New Roman"/>
        <family val="1"/>
        <charset val="204"/>
      </rPr>
      <t xml:space="preserve"> у січні 2026 року</t>
    </r>
  </si>
  <si>
    <r>
      <t xml:space="preserve">ЗВІТ
з купівлі-продажу електроенергії 
УЗЕ ТОВ ”ОЛЕКСАНДРІЙСЬКА БЕСС”- </t>
    </r>
    <r>
      <rPr>
        <b/>
        <sz val="16"/>
        <color theme="1"/>
        <rFont val="Times New Roman"/>
        <family val="1"/>
        <charset val="204"/>
      </rPr>
      <t>15,33776 МВт*год</t>
    </r>
    <r>
      <rPr>
        <b/>
        <sz val="16"/>
        <color rgb="FF002060"/>
        <rFont val="Times New Roman"/>
        <family val="1"/>
        <charset val="204"/>
      </rPr>
      <t xml:space="preserve">
на ринках електроенергії РДН/ВДР та у балансуючій групі КНЕСС
</t>
    </r>
    <r>
      <rPr>
        <b/>
        <sz val="16"/>
        <color rgb="FFC00000"/>
        <rFont val="Times New Roman"/>
        <family val="1"/>
        <charset val="204"/>
      </rPr>
      <t xml:space="preserve"> у січні 2026 року</t>
    </r>
  </si>
  <si>
    <r>
      <t xml:space="preserve">ЗВІТ
з купівлі-продажу електроенергії 
УЗЕ ТОВ ”ЗНАМЕНСЬКА БЕСС”- </t>
    </r>
    <r>
      <rPr>
        <b/>
        <sz val="16"/>
        <color theme="1"/>
        <rFont val="Times New Roman"/>
        <family val="1"/>
        <charset val="204"/>
      </rPr>
      <t>10,32180 МВт*год</t>
    </r>
    <r>
      <rPr>
        <b/>
        <sz val="16"/>
        <color rgb="FF002060"/>
        <rFont val="Times New Roman"/>
        <family val="1"/>
        <charset val="204"/>
      </rPr>
      <t xml:space="preserve">
на ринках електроенергії РДН/ВДР та у балансуючій групі КНЕСС
</t>
    </r>
    <r>
      <rPr>
        <b/>
        <sz val="16"/>
        <color rgb="FFC00000"/>
        <rFont val="Times New Roman"/>
        <family val="1"/>
        <charset val="204"/>
      </rPr>
      <t xml:space="preserve"> у 2025-2026 роках</t>
    </r>
  </si>
  <si>
    <r>
      <t xml:space="preserve">ЗВІТ
з купівлі-продажу електроенергії 
УЗЕ ТОВ ”ОЛЕКСАНДРІЙСЬКА БЕСС”- </t>
    </r>
    <r>
      <rPr>
        <b/>
        <sz val="16"/>
        <color theme="1"/>
        <rFont val="Times New Roman"/>
        <family val="1"/>
        <charset val="204"/>
      </rPr>
      <t>15,33776 МВт*год</t>
    </r>
    <r>
      <rPr>
        <b/>
        <sz val="16"/>
        <color rgb="FF002060"/>
        <rFont val="Times New Roman"/>
        <family val="1"/>
        <charset val="204"/>
      </rPr>
      <t xml:space="preserve">
на ринках електроенергії РДН/ВДР та у балансуючій групі КНЕСС
</t>
    </r>
    <r>
      <rPr>
        <b/>
        <sz val="16"/>
        <color rgb="FFC00000"/>
        <rFont val="Times New Roman"/>
        <family val="1"/>
        <charset val="204"/>
      </rPr>
      <t xml:space="preserve"> у 2025-2026 роках</t>
    </r>
  </si>
  <si>
    <r>
      <t xml:space="preserve">ЗВІТ
з купівлі-продажу електроенергії 
УЗЕ ТОВ ”ЗНАМЕНСЬКА БЕСС”- </t>
    </r>
    <r>
      <rPr>
        <b/>
        <sz val="16"/>
        <color theme="1"/>
        <rFont val="Times New Roman"/>
        <family val="1"/>
        <charset val="204"/>
      </rPr>
      <t>10,32180 МВт*год</t>
    </r>
    <r>
      <rPr>
        <b/>
        <sz val="16"/>
        <color rgb="FF002060"/>
        <rFont val="Times New Roman"/>
        <family val="1"/>
        <charset val="204"/>
      </rPr>
      <t xml:space="preserve">
на ринках електроенергії РДН/ВДР та у балансуючій групі КНЕСС
</t>
    </r>
    <r>
      <rPr>
        <b/>
        <sz val="16"/>
        <color rgb="FFC00000"/>
        <rFont val="Times New Roman"/>
        <family val="1"/>
        <charset val="204"/>
      </rPr>
      <t xml:space="preserve"> у лютому 2026 року</t>
    </r>
  </si>
  <si>
    <r>
      <t xml:space="preserve">ЗВІТ
з купівлі-продажу електроенергії 
УЗЕ ТОВ ”ОЛЕКСАНДРІЙСЬКА БЕСС”- </t>
    </r>
    <r>
      <rPr>
        <b/>
        <sz val="16"/>
        <color theme="1"/>
        <rFont val="Times New Roman"/>
        <family val="1"/>
        <charset val="204"/>
      </rPr>
      <t>15,33776 МВт*год</t>
    </r>
    <r>
      <rPr>
        <b/>
        <sz val="16"/>
        <color rgb="FF002060"/>
        <rFont val="Times New Roman"/>
        <family val="1"/>
        <charset val="204"/>
      </rPr>
      <t xml:space="preserve">
на ринках електроенергії РДН/ВДР та у балансуючій групі КНЕСС
</t>
    </r>
    <r>
      <rPr>
        <b/>
        <sz val="16"/>
        <color rgb="FFC00000"/>
        <rFont val="Times New Roman"/>
        <family val="1"/>
        <charset val="204"/>
      </rPr>
      <t xml:space="preserve"> у лютому 2026 року</t>
    </r>
  </si>
  <si>
    <r>
      <t xml:space="preserve">ЗВІТ
з купівлі-продажу електроенергії 
УЗЕ ТОВ ”ЗНАМЕНСЬКА БЕСС”- </t>
    </r>
    <r>
      <rPr>
        <b/>
        <sz val="16"/>
        <color theme="1"/>
        <rFont val="Times New Roman"/>
        <family val="1"/>
        <charset val="204"/>
      </rPr>
      <t>10,32180 МВт*год</t>
    </r>
    <r>
      <rPr>
        <b/>
        <sz val="16"/>
        <color rgb="FF002060"/>
        <rFont val="Times New Roman"/>
        <family val="1"/>
        <charset val="204"/>
      </rPr>
      <t xml:space="preserve">
на ринках електроенергії РДН/ВДР та у балансуючій групі КНЕСС
</t>
    </r>
    <r>
      <rPr>
        <b/>
        <sz val="16"/>
        <color rgb="FFC00000"/>
        <rFont val="Times New Roman"/>
        <family val="1"/>
        <charset val="204"/>
      </rPr>
      <t xml:space="preserve"> у березні 2026 року</t>
    </r>
  </si>
  <si>
    <r>
      <t xml:space="preserve">ЗВІТ
з купівлі-продажу електроенергії 
УЗЕ ТОВ ”ОЛЕКСАНДРІЙСЬКА БЕСС”- </t>
    </r>
    <r>
      <rPr>
        <b/>
        <sz val="16"/>
        <color theme="1"/>
        <rFont val="Times New Roman"/>
        <family val="1"/>
        <charset val="204"/>
      </rPr>
      <t>15,33776 МВт*год</t>
    </r>
    <r>
      <rPr>
        <b/>
        <sz val="16"/>
        <color rgb="FF002060"/>
        <rFont val="Times New Roman"/>
        <family val="1"/>
        <charset val="204"/>
      </rPr>
      <t xml:space="preserve">
на ринках електроенергії РДН/ВДР та у балансуючій групі КНЕСС
</t>
    </r>
    <r>
      <rPr>
        <b/>
        <sz val="16"/>
        <color rgb="FFC00000"/>
        <rFont val="Times New Roman"/>
        <family val="1"/>
        <charset val="204"/>
      </rPr>
      <t xml:space="preserve"> у березні 2026 року</t>
    </r>
  </si>
  <si>
    <t>Середньозважена ціна,
грн/МВт*год</t>
  </si>
  <si>
    <t>УЗЕ ТОВ ”ЗНАМЕНСЬКА БЕСС”- 10,32180 МВт*год</t>
  </si>
  <si>
    <t>УЗЕ ТОВ ”ОЛЕКСАНДРІЙСЬКА БЕСС”- 15,33776 МВт*год</t>
  </si>
  <si>
    <t>купівля балансуючої електроенергії (НЕК "УКРЕНЕРГО")</t>
  </si>
  <si>
    <t>продаж балансуючої електроенергії (НЕК "УКРЕНЕРГО")</t>
  </si>
  <si>
    <t>Для себя</t>
  </si>
  <si>
    <r>
      <t xml:space="preserve">ЗВІТ
з купівлі-продажу електроенергії 
УЗЕ ТОВ ”ЗНАМЕНСЬКА БЕСС”- </t>
    </r>
    <r>
      <rPr>
        <b/>
        <sz val="16"/>
        <color theme="1"/>
        <rFont val="Times New Roman"/>
        <family val="1"/>
        <charset val="204"/>
      </rPr>
      <t>10,32180 МВт*год</t>
    </r>
    <r>
      <rPr>
        <b/>
        <sz val="16"/>
        <color rgb="FF002060"/>
        <rFont val="Times New Roman"/>
        <family val="1"/>
        <charset val="204"/>
      </rPr>
      <t xml:space="preserve">
на ринках електроенергії РДН/ВДР та у балансуючій групі КНЕСС
</t>
    </r>
    <r>
      <rPr>
        <b/>
        <sz val="16"/>
        <color rgb="FFC00000"/>
        <rFont val="Times New Roman"/>
        <family val="1"/>
        <charset val="204"/>
      </rPr>
      <t xml:space="preserve"> у квітні 2026 року</t>
    </r>
  </si>
  <si>
    <r>
      <t xml:space="preserve">ЗВІТ
з купівлі-продажу електроенергії 
УЗЕ ТОВ ”ОЛЕКСАНДРІЙСЬКА БЕСС”- </t>
    </r>
    <r>
      <rPr>
        <b/>
        <sz val="16"/>
        <color theme="1"/>
        <rFont val="Times New Roman"/>
        <family val="1"/>
        <charset val="204"/>
      </rPr>
      <t>15,33776 МВт*год</t>
    </r>
    <r>
      <rPr>
        <b/>
        <sz val="16"/>
        <color rgb="FF002060"/>
        <rFont val="Times New Roman"/>
        <family val="1"/>
        <charset val="204"/>
      </rPr>
      <t xml:space="preserve">
на ринках електроенергії РДН/ВДР та у балансуючій групі КНЕСС
</t>
    </r>
    <r>
      <rPr>
        <b/>
        <sz val="16"/>
        <color rgb="FFC00000"/>
        <rFont val="Times New Roman"/>
        <family val="1"/>
        <charset val="204"/>
      </rPr>
      <t xml:space="preserve"> у квітні 2026 року</t>
    </r>
  </si>
  <si>
    <r>
      <t xml:space="preserve">ЗВІТ
з купівлі-продажу електроенергії 
УЗЕ ТОВ ”ОЛЕКСАНДРІЙСЬКА БЕСС”- </t>
    </r>
    <r>
      <rPr>
        <b/>
        <sz val="16"/>
        <color theme="1"/>
        <rFont val="Times New Roman"/>
        <family val="1"/>
        <charset val="204"/>
      </rPr>
      <t>15,33776 МВт*год</t>
    </r>
    <r>
      <rPr>
        <b/>
        <sz val="16"/>
        <color rgb="FF002060"/>
        <rFont val="Times New Roman"/>
        <family val="1"/>
        <charset val="204"/>
      </rPr>
      <t xml:space="preserve">
на ринках електроенергії РДН/ВДР та у балансуючій групі КНЕСС
</t>
    </r>
    <r>
      <rPr>
        <b/>
        <sz val="16"/>
        <color rgb="FFC00000"/>
        <rFont val="Times New Roman"/>
        <family val="1"/>
        <charset val="204"/>
      </rPr>
      <t xml:space="preserve"> у травні 2026 року (01-04/05/2026)</t>
    </r>
  </si>
  <si>
    <r>
      <t xml:space="preserve">ЗВІТ
з купівлі-продажу електроенергії 
УЗЕ ТОВ ”ЗНАМЕНСЬКА БЕСС”- </t>
    </r>
    <r>
      <rPr>
        <b/>
        <sz val="16"/>
        <color theme="1"/>
        <rFont val="Times New Roman"/>
        <family val="1"/>
        <charset val="204"/>
      </rPr>
      <t>10,32180 МВт*год</t>
    </r>
    <r>
      <rPr>
        <b/>
        <sz val="16"/>
        <color rgb="FF002060"/>
        <rFont val="Times New Roman"/>
        <family val="1"/>
        <charset val="204"/>
      </rPr>
      <t xml:space="preserve">
на ринках електроенергії РДН/ВДР та у балансуючій групі КНЕСС
</t>
    </r>
    <r>
      <rPr>
        <b/>
        <sz val="16"/>
        <color rgb="FFC00000"/>
        <rFont val="Times New Roman"/>
        <family val="1"/>
        <charset val="204"/>
      </rPr>
      <t xml:space="preserve"> у травні 2026 року (01-04/05/2026)</t>
    </r>
  </si>
  <si>
    <r>
      <t xml:space="preserve">ЗВІТ
з купівлі-продажу електроенергії 
УЗЕ ТОВ ”ЗНАМЕНСЬКА БЕСС”- </t>
    </r>
    <r>
      <rPr>
        <b/>
        <sz val="16"/>
        <color theme="1"/>
        <rFont val="Times New Roman"/>
        <family val="1"/>
        <charset val="204"/>
      </rPr>
      <t>10,32180 МВт*год</t>
    </r>
    <r>
      <rPr>
        <b/>
        <sz val="16"/>
        <color rgb="FF002060"/>
        <rFont val="Times New Roman"/>
        <family val="1"/>
        <charset val="204"/>
      </rPr>
      <t xml:space="preserve">
на ринках електроенергії РДН/ВДР
</t>
    </r>
    <r>
      <rPr>
        <b/>
        <sz val="16"/>
        <color rgb="FFC00000"/>
        <rFont val="Times New Roman"/>
        <family val="1"/>
        <charset val="204"/>
      </rPr>
      <t xml:space="preserve"> у  2025, 2026 роках</t>
    </r>
  </si>
  <si>
    <r>
      <t xml:space="preserve">ЗВІТ
з купівлі-продажу електроенергії 
УЗЕ ТОВ ”ОЛЕКСАНДРІЙСЬКА БЕСС”- </t>
    </r>
    <r>
      <rPr>
        <b/>
        <sz val="16"/>
        <color theme="1"/>
        <rFont val="Times New Roman"/>
        <family val="1"/>
        <charset val="204"/>
      </rPr>
      <t>15,33776 МВт*год</t>
    </r>
    <r>
      <rPr>
        <b/>
        <sz val="16"/>
        <color rgb="FF002060"/>
        <rFont val="Times New Roman"/>
        <family val="1"/>
        <charset val="204"/>
      </rPr>
      <t xml:space="preserve">
на ринках електроенергії РДН/ВДР
</t>
    </r>
    <r>
      <rPr>
        <b/>
        <sz val="16"/>
        <color rgb="FFC00000"/>
        <rFont val="Times New Roman"/>
        <family val="1"/>
        <charset val="204"/>
      </rPr>
      <t xml:space="preserve"> у  2025, 2026 роках</t>
    </r>
  </si>
  <si>
    <t>травень 2026 (4 дні)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</si>
</sst>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mmmm\ dd\,\ yyyy"/>
    <numFmt numFmtId="166" formatCode="mmmm\ yyyy"/>
    <numFmt numFmtId="167" formatCode="#,##0.00000"/>
  </numFmts>
  <fonts count="21" x14ac:knownFonts="1">
    <font>
      <sz val="10"/>
      <color rgb="FF000000"/>
      <name val="Arial"/>
      <scheme val="minor"/>
    </font>
    <font>
      <sz val="10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i/>
      <sz val="16"/>
      <color rgb="FF000000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b/>
      <sz val="18"/>
      <color rgb="FFC00000"/>
      <name val="Times New Roman"/>
      <family val="1"/>
      <charset val="204"/>
    </font>
    <font>
      <b/>
      <sz val="16"/>
      <color rgb="FF002060"/>
      <name val="Times New Roman"/>
      <family val="1"/>
      <charset val="204"/>
    </font>
    <font>
      <b/>
      <sz val="16"/>
      <color rgb="FFC00000"/>
      <name val="Times New Roman"/>
      <family val="1"/>
      <charset val="204"/>
    </font>
    <font>
      <b/>
      <sz val="11"/>
      <color rgb="FFC00000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Arial"/>
      <family val="2"/>
      <charset val="204"/>
      <scheme val="minor"/>
    </font>
    <font>
      <b/>
      <sz val="14"/>
      <color rgb="FFC00000"/>
      <name val="Times New Roman"/>
      <family val="1"/>
      <charset val="204"/>
    </font>
    <font>
      <sz val="18"/>
      <color rgb="FFC00000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sz val="18"/>
      <color rgb="FF000000"/>
      <name val="Times New Roman"/>
      <family val="1"/>
      <charset val="204"/>
    </font>
    <font>
      <sz val="14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4" fontId="3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2" borderId="7" xfId="0" applyFont="1" applyFill="1" applyBorder="1"/>
    <xf numFmtId="4" fontId="6" fillId="2" borderId="8" xfId="0" applyNumberFormat="1" applyFont="1" applyFill="1" applyBorder="1"/>
    <xf numFmtId="4" fontId="6" fillId="2" borderId="9" xfId="0" applyNumberFormat="1" applyFont="1" applyFill="1" applyBorder="1"/>
    <xf numFmtId="0" fontId="3" fillId="0" borderId="10" xfId="0" applyFont="1" applyBorder="1" applyAlignment="1">
      <alignment vertical="center" wrapText="1"/>
    </xf>
    <xf numFmtId="4" fontId="3" fillId="0" borderId="11" xfId="0" applyNumberFormat="1" applyFont="1" applyBorder="1" applyAlignment="1">
      <alignment vertical="center"/>
    </xf>
    <xf numFmtId="4" fontId="3" fillId="0" borderId="12" xfId="0" applyNumberFormat="1" applyFont="1" applyBorder="1" applyAlignment="1">
      <alignment vertical="center"/>
    </xf>
    <xf numFmtId="0" fontId="5" fillId="0" borderId="13" xfId="0" applyFont="1" applyBorder="1" applyAlignment="1">
      <alignment vertical="center" wrapText="1"/>
    </xf>
    <xf numFmtId="4" fontId="5" fillId="0" borderId="14" xfId="0" applyNumberFormat="1" applyFont="1" applyBorder="1" applyAlignment="1">
      <alignment vertical="center"/>
    </xf>
    <xf numFmtId="4" fontId="5" fillId="0" borderId="15" xfId="0" applyNumberFormat="1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4" fontId="2" fillId="0" borderId="3" xfId="0" applyNumberFormat="1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4" fontId="2" fillId="0" borderId="5" xfId="0" applyNumberFormat="1" applyFont="1" applyBorder="1" applyAlignment="1">
      <alignment vertical="center"/>
    </xf>
    <xf numFmtId="4" fontId="2" fillId="0" borderId="6" xfId="0" applyNumberFormat="1" applyFont="1" applyBorder="1" applyAlignment="1">
      <alignment vertical="center"/>
    </xf>
    <xf numFmtId="0" fontId="4" fillId="3" borderId="7" xfId="0" applyFont="1" applyFill="1" applyBorder="1" applyAlignment="1">
      <alignment horizontal="center" vertical="top"/>
    </xf>
    <xf numFmtId="4" fontId="4" fillId="3" borderId="8" xfId="0" applyNumberFormat="1" applyFont="1" applyFill="1" applyBorder="1" applyAlignment="1">
      <alignment horizontal="center" vertical="top" wrapText="1"/>
    </xf>
    <xf numFmtId="4" fontId="4" fillId="3" borderId="9" xfId="0" applyNumberFormat="1" applyFont="1" applyFill="1" applyBorder="1" applyAlignment="1">
      <alignment horizontal="center" vertical="top" wrapText="1"/>
    </xf>
    <xf numFmtId="0" fontId="7" fillId="0" borderId="0" xfId="0" applyFont="1" applyAlignment="1">
      <alignment vertical="center"/>
    </xf>
    <xf numFmtId="4" fontId="1" fillId="0" borderId="0" xfId="0" applyNumberFormat="1" applyFont="1"/>
    <xf numFmtId="4" fontId="5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4" fontId="6" fillId="0" borderId="1" xfId="0" applyNumberFormat="1" applyFon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4" fontId="2" fillId="4" borderId="1" xfId="0" applyNumberFormat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vertical="center" wrapText="1"/>
    </xf>
    <xf numFmtId="4" fontId="2" fillId="0" borderId="17" xfId="0" applyNumberFormat="1" applyFont="1" applyBorder="1" applyAlignment="1">
      <alignment vertical="center"/>
    </xf>
    <xf numFmtId="4" fontId="2" fillId="0" borderId="18" xfId="0" applyNumberFormat="1" applyFont="1" applyBorder="1" applyAlignment="1">
      <alignment vertical="center"/>
    </xf>
    <xf numFmtId="4" fontId="2" fillId="0" borderId="19" xfId="0" applyNumberFormat="1" applyFont="1" applyBorder="1" applyAlignment="1">
      <alignment vertical="center"/>
    </xf>
    <xf numFmtId="4" fontId="2" fillId="0" borderId="20" xfId="0" applyNumberFormat="1" applyFont="1" applyBorder="1" applyAlignment="1">
      <alignment vertical="center"/>
    </xf>
    <xf numFmtId="4" fontId="2" fillId="0" borderId="0" xfId="0" applyNumberFormat="1" applyFont="1" applyAlignment="1">
      <alignment horizontal="center" vertical="center" wrapText="1"/>
    </xf>
    <xf numFmtId="4" fontId="2" fillId="0" borderId="0" xfId="0" applyNumberFormat="1" applyFont="1"/>
    <xf numFmtId="4" fontId="3" fillId="0" borderId="0" xfId="0" applyNumberFormat="1" applyFont="1" applyAlignment="1">
      <alignment vertical="center"/>
    </xf>
    <xf numFmtId="4" fontId="5" fillId="0" borderId="0" xfId="0" applyNumberFormat="1" applyFont="1" applyAlignment="1">
      <alignment vertical="center"/>
    </xf>
    <xf numFmtId="4" fontId="2" fillId="0" borderId="0" xfId="0" applyNumberFormat="1" applyFont="1" applyAlignment="1">
      <alignment vertical="center"/>
    </xf>
    <xf numFmtId="4" fontId="6" fillId="0" borderId="0" xfId="0" applyNumberFormat="1" applyFont="1" applyAlignment="1">
      <alignment vertical="center"/>
    </xf>
    <xf numFmtId="164" fontId="3" fillId="0" borderId="11" xfId="0" applyNumberFormat="1" applyFont="1" applyBorder="1" applyAlignment="1">
      <alignment vertical="center"/>
    </xf>
    <xf numFmtId="164" fontId="5" fillId="0" borderId="14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4" fontId="2" fillId="0" borderId="5" xfId="0" applyNumberFormat="1" applyFont="1" applyBorder="1" applyAlignment="1">
      <alignment vertical="center"/>
    </xf>
    <xf numFmtId="164" fontId="2" fillId="0" borderId="17" xfId="0" applyNumberFormat="1" applyFont="1" applyBorder="1" applyAlignment="1">
      <alignment vertical="center"/>
    </xf>
    <xf numFmtId="164" fontId="2" fillId="0" borderId="19" xfId="0" applyNumberFormat="1" applyFont="1" applyBorder="1" applyAlignment="1">
      <alignment vertical="center"/>
    </xf>
    <xf numFmtId="164" fontId="6" fillId="2" borderId="8" xfId="0" applyNumberFormat="1" applyFont="1" applyFill="1" applyBorder="1"/>
    <xf numFmtId="164" fontId="1" fillId="0" borderId="0" xfId="0" applyNumberFormat="1" applyFont="1"/>
    <xf numFmtId="164" fontId="4" fillId="3" borderId="8" xfId="0" applyNumberFormat="1" applyFont="1" applyFill="1" applyBorder="1" applyAlignment="1">
      <alignment horizontal="center" vertical="top" wrapText="1"/>
    </xf>
    <xf numFmtId="164" fontId="2" fillId="6" borderId="1" xfId="0" applyNumberFormat="1" applyFont="1" applyFill="1" applyBorder="1" applyAlignment="1">
      <alignment vertical="center"/>
    </xf>
    <xf numFmtId="4" fontId="2" fillId="6" borderId="1" xfId="0" applyNumberFormat="1" applyFont="1" applyFill="1" applyBorder="1" applyAlignment="1">
      <alignment vertical="center"/>
    </xf>
    <xf numFmtId="164" fontId="2" fillId="6" borderId="5" xfId="0" applyNumberFormat="1" applyFont="1" applyFill="1" applyBorder="1" applyAlignment="1">
      <alignment vertical="center"/>
    </xf>
    <xf numFmtId="4" fontId="2" fillId="6" borderId="5" xfId="0" applyNumberFormat="1" applyFont="1" applyFill="1" applyBorder="1" applyAlignment="1">
      <alignment vertical="center"/>
    </xf>
    <xf numFmtId="164" fontId="2" fillId="6" borderId="17" xfId="0" applyNumberFormat="1" applyFont="1" applyFill="1" applyBorder="1" applyAlignment="1">
      <alignment vertical="center"/>
    </xf>
    <xf numFmtId="4" fontId="2" fillId="6" borderId="17" xfId="0" applyNumberFormat="1" applyFont="1" applyFill="1" applyBorder="1" applyAlignment="1">
      <alignment vertical="center"/>
    </xf>
    <xf numFmtId="164" fontId="3" fillId="6" borderId="11" xfId="0" applyNumberFormat="1" applyFont="1" applyFill="1" applyBorder="1" applyAlignment="1">
      <alignment vertical="center"/>
    </xf>
    <xf numFmtId="4" fontId="3" fillId="6" borderId="11" xfId="0" applyNumberFormat="1" applyFont="1" applyFill="1" applyBorder="1" applyAlignment="1">
      <alignment vertical="center"/>
    </xf>
    <xf numFmtId="164" fontId="5" fillId="6" borderId="14" xfId="0" applyNumberFormat="1" applyFont="1" applyFill="1" applyBorder="1" applyAlignment="1">
      <alignment vertical="center"/>
    </xf>
    <xf numFmtId="4" fontId="5" fillId="6" borderId="14" xfId="0" applyNumberFormat="1" applyFont="1" applyFill="1" applyBorder="1" applyAlignment="1">
      <alignment vertical="center"/>
    </xf>
    <xf numFmtId="164" fontId="2" fillId="6" borderId="19" xfId="0" applyNumberFormat="1" applyFont="1" applyFill="1" applyBorder="1" applyAlignment="1">
      <alignment vertical="center"/>
    </xf>
    <xf numFmtId="4" fontId="2" fillId="6" borderId="19" xfId="0" applyNumberFormat="1" applyFont="1" applyFill="1" applyBorder="1" applyAlignment="1">
      <alignment vertical="center"/>
    </xf>
    <xf numFmtId="1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12" fillId="6" borderId="17" xfId="0" applyNumberFormat="1" applyFont="1" applyFill="1" applyBorder="1" applyAlignment="1">
      <alignment vertical="center"/>
    </xf>
    <xf numFmtId="4" fontId="12" fillId="6" borderId="17" xfId="0" applyNumberFormat="1" applyFont="1" applyFill="1" applyBorder="1" applyAlignment="1">
      <alignment vertical="center"/>
    </xf>
    <xf numFmtId="164" fontId="12" fillId="6" borderId="19" xfId="0" applyNumberFormat="1" applyFont="1" applyFill="1" applyBorder="1" applyAlignment="1">
      <alignment vertical="center"/>
    </xf>
    <xf numFmtId="4" fontId="12" fillId="6" borderId="19" xfId="0" applyNumberFormat="1" applyFont="1" applyFill="1" applyBorder="1" applyAlignment="1">
      <alignment vertical="center"/>
    </xf>
    <xf numFmtId="164" fontId="7" fillId="0" borderId="0" xfId="0" applyNumberFormat="1" applyFont="1" applyAlignment="1">
      <alignment vertical="center"/>
    </xf>
    <xf numFmtId="164" fontId="2" fillId="0" borderId="0" xfId="0" applyNumberFormat="1" applyFont="1"/>
    <xf numFmtId="164" fontId="3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164" fontId="13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16" fontId="2" fillId="0" borderId="0" xfId="0" applyNumberFormat="1" applyFont="1" applyAlignment="1">
      <alignment vertical="center"/>
    </xf>
    <xf numFmtId="165" fontId="15" fillId="0" borderId="0" xfId="0" applyNumberFormat="1" applyFont="1" applyAlignment="1">
      <alignment horizontal="center" vertical="center" wrapText="1"/>
    </xf>
    <xf numFmtId="164" fontId="4" fillId="3" borderId="19" xfId="0" applyNumberFormat="1" applyFont="1" applyFill="1" applyBorder="1" applyAlignment="1">
      <alignment horizontal="center" vertical="top" wrapText="1"/>
    </xf>
    <xf numFmtId="0" fontId="4" fillId="3" borderId="21" xfId="0" applyFont="1" applyFill="1" applyBorder="1" applyAlignment="1">
      <alignment horizontal="center" vertical="top"/>
    </xf>
    <xf numFmtId="164" fontId="4" fillId="3" borderId="20" xfId="0" applyNumberFormat="1" applyFont="1" applyFill="1" applyBorder="1" applyAlignment="1">
      <alignment horizontal="center" vertical="top" wrapText="1"/>
    </xf>
    <xf numFmtId="164" fontId="3" fillId="0" borderId="12" xfId="0" applyNumberFormat="1" applyFont="1" applyBorder="1" applyAlignment="1">
      <alignment vertical="center"/>
    </xf>
    <xf numFmtId="164" fontId="5" fillId="0" borderId="15" xfId="0" applyNumberFormat="1" applyFont="1" applyBorder="1" applyAlignment="1">
      <alignment vertical="center"/>
    </xf>
    <xf numFmtId="164" fontId="2" fillId="0" borderId="3" xfId="0" applyNumberFormat="1" applyFont="1" applyBorder="1" applyAlignment="1">
      <alignment vertical="center"/>
    </xf>
    <xf numFmtId="164" fontId="2" fillId="6" borderId="3" xfId="0" applyNumberFormat="1" applyFont="1" applyFill="1" applyBorder="1" applyAlignment="1">
      <alignment vertical="center"/>
    </xf>
    <xf numFmtId="164" fontId="2" fillId="6" borderId="6" xfId="0" applyNumberFormat="1" applyFont="1" applyFill="1" applyBorder="1" applyAlignment="1">
      <alignment vertical="center"/>
    </xf>
    <xf numFmtId="164" fontId="3" fillId="6" borderId="12" xfId="0" applyNumberFormat="1" applyFont="1" applyFill="1" applyBorder="1" applyAlignment="1">
      <alignment vertical="center"/>
    </xf>
    <xf numFmtId="164" fontId="5" fillId="6" borderId="15" xfId="0" applyNumberFormat="1" applyFont="1" applyFill="1" applyBorder="1" applyAlignment="1">
      <alignment vertical="center"/>
    </xf>
    <xf numFmtId="164" fontId="6" fillId="2" borderId="9" xfId="0" applyNumberFormat="1" applyFont="1" applyFill="1" applyBorder="1"/>
    <xf numFmtId="164" fontId="4" fillId="3" borderId="9" xfId="0" applyNumberFormat="1" applyFont="1" applyFill="1" applyBorder="1" applyAlignment="1">
      <alignment horizontal="center" vertical="top" wrapText="1"/>
    </xf>
    <xf numFmtId="165" fontId="16" fillId="7" borderId="7" xfId="0" applyNumberFormat="1" applyFont="1" applyFill="1" applyBorder="1" applyAlignment="1">
      <alignment horizontal="center" vertical="center" wrapText="1"/>
    </xf>
    <xf numFmtId="166" fontId="14" fillId="7" borderId="8" xfId="0" applyNumberFormat="1" applyFont="1" applyFill="1" applyBorder="1" applyAlignment="1">
      <alignment horizontal="center" vertical="center" wrapText="1"/>
    </xf>
    <xf numFmtId="166" fontId="14" fillId="7" borderId="9" xfId="0" applyNumberFormat="1" applyFont="1" applyFill="1" applyBorder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4" fontId="12" fillId="6" borderId="5" xfId="0" applyNumberFormat="1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4" fontId="12" fillId="6" borderId="5" xfId="0" applyNumberFormat="1" applyFont="1" applyFill="1" applyBorder="1" applyAlignment="1">
      <alignment vertical="center"/>
    </xf>
    <xf numFmtId="0" fontId="2" fillId="0" borderId="22" xfId="0" applyFont="1" applyBorder="1" applyAlignment="1">
      <alignment vertical="center" wrapText="1"/>
    </xf>
    <xf numFmtId="164" fontId="2" fillId="0" borderId="23" xfId="0" applyNumberFormat="1" applyFont="1" applyBorder="1" applyAlignment="1">
      <alignment vertical="center"/>
    </xf>
    <xf numFmtId="164" fontId="2" fillId="6" borderId="23" xfId="0" applyNumberFormat="1" applyFont="1" applyFill="1" applyBorder="1" applyAlignment="1">
      <alignment vertical="center"/>
    </xf>
    <xf numFmtId="164" fontId="2" fillId="6" borderId="24" xfId="0" applyNumberFormat="1" applyFont="1" applyFill="1" applyBorder="1" applyAlignment="1">
      <alignment vertical="center"/>
    </xf>
    <xf numFmtId="164" fontId="12" fillId="6" borderId="6" xfId="0" applyNumberFormat="1" applyFont="1" applyFill="1" applyBorder="1" applyAlignment="1">
      <alignment vertical="center"/>
    </xf>
    <xf numFmtId="164" fontId="2" fillId="7" borderId="1" xfId="0" applyNumberFormat="1" applyFont="1" applyFill="1" applyBorder="1" applyAlignment="1">
      <alignment vertical="center"/>
    </xf>
    <xf numFmtId="4" fontId="2" fillId="7" borderId="1" xfId="0" applyNumberFormat="1" applyFont="1" applyFill="1" applyBorder="1" applyAlignment="1">
      <alignment vertical="center"/>
    </xf>
    <xf numFmtId="4" fontId="17" fillId="0" borderId="0" xfId="0" applyNumberFormat="1" applyFont="1" applyAlignment="1">
      <alignment vertical="center"/>
    </xf>
    <xf numFmtId="4" fontId="18" fillId="0" borderId="0" xfId="0" applyNumberFormat="1" applyFont="1" applyAlignment="1">
      <alignment vertical="center"/>
    </xf>
    <xf numFmtId="4" fontId="19" fillId="0" borderId="0" xfId="0" applyNumberFormat="1" applyFont="1" applyAlignment="1">
      <alignment vertical="center"/>
    </xf>
    <xf numFmtId="0" fontId="5" fillId="0" borderId="25" xfId="0" applyFont="1" applyBorder="1" applyAlignment="1">
      <alignment vertical="center" wrapText="1"/>
    </xf>
    <xf numFmtId="164" fontId="5" fillId="0" borderId="26" xfId="0" applyNumberFormat="1" applyFont="1" applyBorder="1" applyAlignment="1">
      <alignment vertical="center"/>
    </xf>
    <xf numFmtId="164" fontId="5" fillId="0" borderId="27" xfId="0" applyNumberFormat="1" applyFont="1" applyBorder="1" applyAlignment="1">
      <alignment vertical="center"/>
    </xf>
    <xf numFmtId="164" fontId="20" fillId="6" borderId="1" xfId="0" applyNumberFormat="1" applyFont="1" applyFill="1" applyBorder="1" applyAlignment="1">
      <alignment vertical="center"/>
    </xf>
    <xf numFmtId="4" fontId="20" fillId="6" borderId="1" xfId="0" applyNumberFormat="1" applyFont="1" applyFill="1" applyBorder="1" applyAlignment="1">
      <alignment vertical="center"/>
    </xf>
    <xf numFmtId="0" fontId="10" fillId="5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2616-0BCA-4C0C-B15B-AA6A78789C67}">
  <sheetPr>
    <tabColor rgb="FF7030A0"/>
    <pageSetUpPr fitToPage="1"/>
  </sheetPr>
  <dimension ref="A1:J31"/>
  <sheetViews>
    <sheetView view="pageBreakPreview" zoomScale="85" zoomScaleNormal="100" zoomScaleSheetLayoutView="85" workbookViewId="0">
      <selection activeCell="D30" sqref="D30"/>
    </sheetView>
  </sheetViews>
  <sheetFormatPr defaultColWidth="8.85546875" defaultRowHeight="12.75" x14ac:dyDescent="0.2"/>
  <cols>
    <col min="1" max="1" width="45.28515625" style="1" customWidth="1"/>
    <col min="2" max="2" width="14.7109375" style="55" customWidth="1"/>
    <col min="3" max="3" width="22.28515625" style="1" customWidth="1"/>
    <col min="4" max="4" width="22" style="1" customWidth="1"/>
    <col min="5" max="5" width="23.28515625" style="1" customWidth="1"/>
    <col min="6" max="6" width="14.42578125" style="1" bestFit="1" customWidth="1"/>
    <col min="7" max="7" width="14.42578125" style="1" hidden="1" customWidth="1"/>
    <col min="8" max="8" width="14.7109375" style="30" hidden="1" customWidth="1"/>
    <col min="9" max="9" width="0" style="1" hidden="1" customWidth="1"/>
    <col min="10" max="10" width="21.42578125" style="30" hidden="1" customWidth="1"/>
    <col min="11" max="11" width="0" style="1" hidden="1" customWidth="1"/>
    <col min="12" max="16384" width="8.85546875" style="1"/>
  </cols>
  <sheetData>
    <row r="1" spans="1:10" s="29" customFormat="1" ht="105" customHeight="1" x14ac:dyDescent="0.2">
      <c r="A1" s="118" t="s">
        <v>19</v>
      </c>
      <c r="B1" s="118"/>
      <c r="C1" s="118"/>
      <c r="D1" s="118"/>
      <c r="E1" s="118"/>
      <c r="G1" s="117" t="s">
        <v>12</v>
      </c>
      <c r="H1" s="117"/>
      <c r="J1" s="42" t="s">
        <v>13</v>
      </c>
    </row>
    <row r="2" spans="1:10" ht="13.5" thickBot="1" x14ac:dyDescent="0.25"/>
    <row r="3" spans="1:10" s="2" customFormat="1" ht="59.45" customHeight="1" thickBot="1" x14ac:dyDescent="0.35">
      <c r="A3" s="26" t="s">
        <v>4</v>
      </c>
      <c r="B3" s="56" t="s">
        <v>15</v>
      </c>
      <c r="C3" s="27" t="s">
        <v>0</v>
      </c>
      <c r="D3" s="27" t="s">
        <v>8</v>
      </c>
      <c r="E3" s="28" t="s">
        <v>9</v>
      </c>
      <c r="G3" s="36" t="s">
        <v>10</v>
      </c>
      <c r="H3" s="36" t="s">
        <v>11</v>
      </c>
      <c r="J3" s="43"/>
    </row>
    <row r="4" spans="1:10" s="8" customFormat="1" ht="40.15" customHeight="1" x14ac:dyDescent="0.2">
      <c r="A4" s="15" t="s">
        <v>2</v>
      </c>
      <c r="B4" s="48">
        <f>SUM(B6:B9)</f>
        <v>117.495</v>
      </c>
      <c r="C4" s="16">
        <f>D4/B4</f>
        <v>5184.0543704787433</v>
      </c>
      <c r="D4" s="16">
        <f t="shared" ref="D4:E4" si="0">SUM(D6:D9)</f>
        <v>609100.46825939999</v>
      </c>
      <c r="E4" s="17">
        <f t="shared" si="0"/>
        <v>730920.56825940008</v>
      </c>
      <c r="G4" s="10"/>
      <c r="H4" s="7"/>
      <c r="J4" s="44">
        <f>B4*C4-D4</f>
        <v>0</v>
      </c>
    </row>
    <row r="5" spans="1:10" s="9" customFormat="1" ht="20.25" x14ac:dyDescent="0.2">
      <c r="A5" s="18" t="s">
        <v>5</v>
      </c>
      <c r="B5" s="49"/>
      <c r="C5" s="19"/>
      <c r="D5" s="19"/>
      <c r="E5" s="20"/>
      <c r="F5" s="8"/>
      <c r="G5" s="10"/>
      <c r="H5" s="31"/>
      <c r="J5" s="45"/>
    </row>
    <row r="6" spans="1:10" s="4" customFormat="1" ht="40.15" customHeight="1" x14ac:dyDescent="0.2">
      <c r="A6" s="21" t="s">
        <v>16</v>
      </c>
      <c r="B6" s="50">
        <v>37.26</v>
      </c>
      <c r="C6" s="3">
        <v>6155.3149599999997</v>
      </c>
      <c r="D6" s="3">
        <f>B6*C6+G6</f>
        <v>229347.03540959998</v>
      </c>
      <c r="E6" s="22">
        <f>ROUND((D6*20%),2)+D6+H6</f>
        <v>275216.44540959998</v>
      </c>
      <c r="F6" s="6"/>
      <c r="G6" s="5"/>
      <c r="H6" s="3"/>
      <c r="J6" s="46"/>
    </row>
    <row r="7" spans="1:10" s="4" customFormat="1" ht="40.15" customHeight="1" x14ac:dyDescent="0.2">
      <c r="A7" s="21" t="s">
        <v>6</v>
      </c>
      <c r="B7" s="50">
        <v>0</v>
      </c>
      <c r="C7" s="3">
        <v>0</v>
      </c>
      <c r="D7" s="3">
        <f>B7*C7+G7</f>
        <v>0</v>
      </c>
      <c r="E7" s="22">
        <f>ROUND((D7*20%),2)+D7+H7</f>
        <v>0</v>
      </c>
      <c r="F7" s="6"/>
      <c r="G7" s="5"/>
      <c r="H7" s="3"/>
      <c r="J7" s="46"/>
    </row>
    <row r="8" spans="1:10" s="4" customFormat="1" ht="40.15" customHeight="1" thickBot="1" x14ac:dyDescent="0.25">
      <c r="A8" s="23" t="s">
        <v>7</v>
      </c>
      <c r="B8" s="51">
        <v>0</v>
      </c>
      <c r="C8" s="24">
        <v>0</v>
      </c>
      <c r="D8" s="24">
        <f t="shared" ref="D8:D9" si="1">B8*C8+G8</f>
        <v>0</v>
      </c>
      <c r="E8" s="25">
        <f>ROUND((D8*20%),2)+D8+H8</f>
        <v>0</v>
      </c>
      <c r="F8" s="6"/>
      <c r="G8" s="5"/>
      <c r="H8" s="3"/>
      <c r="J8" s="46"/>
    </row>
    <row r="9" spans="1:10" s="4" customFormat="1" ht="40.15" customHeight="1" thickBot="1" x14ac:dyDescent="0.25">
      <c r="A9" s="37" t="s">
        <v>14</v>
      </c>
      <c r="B9" s="52">
        <v>80.234999999999999</v>
      </c>
      <c r="C9" s="38">
        <v>4733.0146800000002</v>
      </c>
      <c r="D9" s="38">
        <f t="shared" si="1"/>
        <v>379753.43284980004</v>
      </c>
      <c r="E9" s="39">
        <f>ROUND((D9*20%),2)+D9+H9</f>
        <v>455704.12284980004</v>
      </c>
      <c r="F9" s="6"/>
      <c r="G9" s="5"/>
      <c r="H9" s="3"/>
      <c r="J9" s="46"/>
    </row>
    <row r="10" spans="1:10" s="8" customFormat="1" ht="40.15" customHeight="1" x14ac:dyDescent="0.2">
      <c r="A10" s="15" t="s">
        <v>3</v>
      </c>
      <c r="B10" s="48">
        <f>SUM(B12:B14)</f>
        <v>63.494999999999997</v>
      </c>
      <c r="C10" s="16">
        <f>D10/B10</f>
        <v>6629.3649500000001</v>
      </c>
      <c r="D10" s="16">
        <f t="shared" ref="D10:E10" si="2">SUM(D12:D14)</f>
        <v>420931.52750024997</v>
      </c>
      <c r="E10" s="17">
        <f t="shared" si="2"/>
        <v>505117.83750024997</v>
      </c>
      <c r="G10" s="10"/>
      <c r="H10" s="7"/>
      <c r="J10" s="44">
        <f>B10*C10-D10</f>
        <v>0</v>
      </c>
    </row>
    <row r="11" spans="1:10" s="9" customFormat="1" ht="20.25" x14ac:dyDescent="0.2">
      <c r="A11" s="18" t="s">
        <v>5</v>
      </c>
      <c r="B11" s="49"/>
      <c r="C11" s="19"/>
      <c r="D11" s="19"/>
      <c r="E11" s="20"/>
      <c r="F11" s="8"/>
      <c r="G11" s="10"/>
      <c r="H11" s="31"/>
      <c r="J11" s="45"/>
    </row>
    <row r="12" spans="1:10" s="4" customFormat="1" ht="40.15" customHeight="1" x14ac:dyDescent="0.2">
      <c r="A12" s="21" t="s">
        <v>6</v>
      </c>
      <c r="B12" s="50">
        <v>0</v>
      </c>
      <c r="C12" s="3">
        <v>0</v>
      </c>
      <c r="D12" s="3">
        <f t="shared" ref="D12:D14" si="3">B12*C12+G12</f>
        <v>0</v>
      </c>
      <c r="E12" s="22">
        <f>ROUND((D12*20%),2)+D12+H12</f>
        <v>0</v>
      </c>
      <c r="F12" s="6"/>
      <c r="G12" s="5"/>
      <c r="H12" s="3"/>
      <c r="J12" s="46"/>
    </row>
    <row r="13" spans="1:10" s="4" customFormat="1" ht="40.15" customHeight="1" thickBot="1" x14ac:dyDescent="0.25">
      <c r="A13" s="23" t="s">
        <v>7</v>
      </c>
      <c r="B13" s="51">
        <v>0</v>
      </c>
      <c r="C13" s="24">
        <v>0</v>
      </c>
      <c r="D13" s="24">
        <f t="shared" si="3"/>
        <v>0</v>
      </c>
      <c r="E13" s="25">
        <f>ROUND((D13*20%),2)+D13+H13</f>
        <v>0</v>
      </c>
      <c r="F13" s="6"/>
      <c r="G13" s="5"/>
      <c r="H13" s="3"/>
      <c r="J13" s="46"/>
    </row>
    <row r="14" spans="1:10" s="4" customFormat="1" ht="40.15" customHeight="1" thickBot="1" x14ac:dyDescent="0.25">
      <c r="A14" s="37" t="s">
        <v>14</v>
      </c>
      <c r="B14" s="53">
        <v>63.494999999999997</v>
      </c>
      <c r="C14" s="40">
        <v>6629.3649500000001</v>
      </c>
      <c r="D14" s="40">
        <f t="shared" si="3"/>
        <v>420931.52750024997</v>
      </c>
      <c r="E14" s="41">
        <f>ROUND((D14*20%),2)+D14+H14</f>
        <v>505117.83750024997</v>
      </c>
      <c r="F14" s="6"/>
      <c r="G14" s="5"/>
      <c r="H14" s="3"/>
      <c r="J14" s="46"/>
    </row>
    <row r="15" spans="1:10" s="11" customFormat="1" ht="40.15" customHeight="1" thickBot="1" x14ac:dyDescent="0.35">
      <c r="A15" s="12" t="s">
        <v>1</v>
      </c>
      <c r="B15" s="54">
        <f>B10-B4</f>
        <v>-54.000000000000007</v>
      </c>
      <c r="C15" s="13">
        <f>C10-C4</f>
        <v>1445.3105795212568</v>
      </c>
      <c r="D15" s="13">
        <f>D10-D4</f>
        <v>-188168.94075915002</v>
      </c>
      <c r="E15" s="14">
        <f>E10-E4</f>
        <v>-225802.73075915012</v>
      </c>
      <c r="G15" s="32"/>
      <c r="H15" s="33"/>
      <c r="J15" s="47"/>
    </row>
    <row r="16" spans="1:10" x14ac:dyDescent="0.2">
      <c r="H16" s="1"/>
    </row>
    <row r="17" spans="1:10" s="29" customFormat="1" ht="105" customHeight="1" x14ac:dyDescent="0.2">
      <c r="A17" s="118" t="s">
        <v>20</v>
      </c>
      <c r="B17" s="118"/>
      <c r="C17" s="118"/>
      <c r="D17" s="118"/>
      <c r="E17" s="118"/>
      <c r="G17" s="117"/>
      <c r="H17" s="117"/>
      <c r="J17" s="42"/>
    </row>
    <row r="18" spans="1:10" ht="13.5" thickBot="1" x14ac:dyDescent="0.25">
      <c r="H18" s="1"/>
    </row>
    <row r="19" spans="1:10" s="2" customFormat="1" ht="59.45" customHeight="1" thickBot="1" x14ac:dyDescent="0.35">
      <c r="A19" s="26" t="s">
        <v>4</v>
      </c>
      <c r="B19" s="56" t="s">
        <v>15</v>
      </c>
      <c r="C19" s="27" t="s">
        <v>0</v>
      </c>
      <c r="D19" s="27" t="s">
        <v>8</v>
      </c>
      <c r="E19" s="28" t="s">
        <v>9</v>
      </c>
      <c r="G19" s="34"/>
      <c r="H19" s="35"/>
      <c r="J19" s="43"/>
    </row>
    <row r="20" spans="1:10" s="8" customFormat="1" ht="40.15" customHeight="1" x14ac:dyDescent="0.2">
      <c r="A20" s="15" t="s">
        <v>2</v>
      </c>
      <c r="B20" s="48">
        <f>SUM(B22:B25)</f>
        <v>295.42399999999998</v>
      </c>
      <c r="C20" s="16">
        <f>D20/B20</f>
        <v>5002.8381839948015</v>
      </c>
      <c r="D20" s="16">
        <f t="shared" ref="D20:E20" si="4">SUM(D22:D25)</f>
        <v>1477958.46766848</v>
      </c>
      <c r="E20" s="17">
        <f t="shared" si="4"/>
        <v>1773550.15766848</v>
      </c>
      <c r="G20" s="10"/>
      <c r="H20" s="7"/>
      <c r="J20" s="44">
        <f>B20*C20-D20</f>
        <v>0</v>
      </c>
    </row>
    <row r="21" spans="1:10" s="9" customFormat="1" ht="20.25" x14ac:dyDescent="0.2">
      <c r="A21" s="18" t="s">
        <v>5</v>
      </c>
      <c r="B21" s="49"/>
      <c r="C21" s="19"/>
      <c r="D21" s="19"/>
      <c r="E21" s="20"/>
      <c r="F21" s="8"/>
      <c r="G21" s="10"/>
      <c r="H21" s="31"/>
      <c r="J21" s="45"/>
    </row>
    <row r="22" spans="1:10" s="4" customFormat="1" ht="40.15" customHeight="1" x14ac:dyDescent="0.2">
      <c r="A22" s="21" t="s">
        <v>16</v>
      </c>
      <c r="B22" s="50">
        <v>24.096</v>
      </c>
      <c r="C22" s="3">
        <v>6413.1897099999996</v>
      </c>
      <c r="D22" s="3">
        <f>B22*C22+G22</f>
        <v>154532.21925215999</v>
      </c>
      <c r="E22" s="22">
        <f>ROUND((D22*20%),2)+D22+H22</f>
        <v>185438.65925216</v>
      </c>
      <c r="F22" s="6"/>
      <c r="G22" s="5"/>
      <c r="H22" s="3"/>
      <c r="J22" s="46"/>
    </row>
    <row r="23" spans="1:10" s="4" customFormat="1" ht="40.15" customHeight="1" x14ac:dyDescent="0.2">
      <c r="A23" s="21" t="s">
        <v>6</v>
      </c>
      <c r="B23" s="50">
        <v>0</v>
      </c>
      <c r="C23" s="3">
        <v>0</v>
      </c>
      <c r="D23" s="3">
        <f>B23*C23+G23</f>
        <v>0</v>
      </c>
      <c r="E23" s="22">
        <f>ROUND((D23*20%),2)+D23+H23</f>
        <v>0</v>
      </c>
      <c r="F23" s="6"/>
      <c r="G23" s="5"/>
      <c r="H23" s="3"/>
      <c r="J23" s="46"/>
    </row>
    <row r="24" spans="1:10" s="4" customFormat="1" ht="40.15" customHeight="1" thickBot="1" x14ac:dyDescent="0.25">
      <c r="A24" s="23" t="s">
        <v>7</v>
      </c>
      <c r="B24" s="51">
        <v>0</v>
      </c>
      <c r="C24" s="24">
        <v>0</v>
      </c>
      <c r="D24" s="24">
        <f t="shared" ref="D24:D25" si="5">B24*C24+G24</f>
        <v>0</v>
      </c>
      <c r="E24" s="25">
        <f>ROUND((D24*20%),2)+D24+H24</f>
        <v>0</v>
      </c>
      <c r="F24" s="6"/>
      <c r="G24" s="5"/>
      <c r="H24" s="3"/>
      <c r="J24" s="46"/>
    </row>
    <row r="25" spans="1:10" s="4" customFormat="1" ht="40.15" customHeight="1" thickBot="1" x14ac:dyDescent="0.25">
      <c r="A25" s="37" t="s">
        <v>14</v>
      </c>
      <c r="B25" s="52">
        <v>271.32799999999997</v>
      </c>
      <c r="C25" s="38">
        <v>4877.5881900000004</v>
      </c>
      <c r="D25" s="38">
        <f t="shared" si="5"/>
        <v>1323426.24841632</v>
      </c>
      <c r="E25" s="39">
        <f>ROUND((D25*20%),2)+D25+H25</f>
        <v>1588111.49841632</v>
      </c>
      <c r="F25" s="6"/>
      <c r="G25" s="5"/>
      <c r="H25" s="3"/>
      <c r="J25" s="46"/>
    </row>
    <row r="26" spans="1:10" s="8" customFormat="1" ht="40.15" customHeight="1" x14ac:dyDescent="0.2">
      <c r="A26" s="15" t="s">
        <v>3</v>
      </c>
      <c r="B26" s="48">
        <f>SUM(B28:B30)</f>
        <v>231.072</v>
      </c>
      <c r="C26" s="16">
        <f>D26/B26</f>
        <v>6382.7611100000004</v>
      </c>
      <c r="D26" s="16">
        <f t="shared" ref="D26:E26" si="6">SUM(D28:D30)</f>
        <v>1474877.3752099201</v>
      </c>
      <c r="E26" s="17">
        <f t="shared" si="6"/>
        <v>1769852.8552099201</v>
      </c>
      <c r="G26" s="10"/>
      <c r="H26" s="7"/>
      <c r="J26" s="44">
        <f>B26*C26-D26</f>
        <v>0</v>
      </c>
    </row>
    <row r="27" spans="1:10" s="9" customFormat="1" ht="20.25" x14ac:dyDescent="0.2">
      <c r="A27" s="18" t="s">
        <v>5</v>
      </c>
      <c r="B27" s="49"/>
      <c r="C27" s="19"/>
      <c r="D27" s="19"/>
      <c r="E27" s="20"/>
      <c r="F27" s="8"/>
      <c r="G27" s="10"/>
      <c r="H27" s="31"/>
      <c r="J27" s="45"/>
    </row>
    <row r="28" spans="1:10" s="4" customFormat="1" ht="40.15" customHeight="1" x14ac:dyDescent="0.2">
      <c r="A28" s="21" t="s">
        <v>6</v>
      </c>
      <c r="B28" s="50">
        <v>0</v>
      </c>
      <c r="C28" s="3">
        <v>0</v>
      </c>
      <c r="D28" s="3">
        <f>B28*C28+G28</f>
        <v>0</v>
      </c>
      <c r="E28" s="22">
        <f>ROUND((D28*20%),2)+D28+H28</f>
        <v>0</v>
      </c>
      <c r="F28" s="6"/>
      <c r="G28" s="5"/>
      <c r="H28" s="3"/>
      <c r="J28" s="46"/>
    </row>
    <row r="29" spans="1:10" s="4" customFormat="1" ht="40.15" customHeight="1" thickBot="1" x14ac:dyDescent="0.25">
      <c r="A29" s="23" t="s">
        <v>7</v>
      </c>
      <c r="B29" s="51">
        <v>0</v>
      </c>
      <c r="C29" s="24">
        <v>0</v>
      </c>
      <c r="D29" s="24">
        <f t="shared" ref="D29:D30" si="7">B29*C29+G29</f>
        <v>0</v>
      </c>
      <c r="E29" s="25">
        <f>ROUND((D29*20%),2)+D29+H29</f>
        <v>0</v>
      </c>
      <c r="F29" s="6"/>
      <c r="G29" s="5"/>
      <c r="H29" s="3"/>
      <c r="J29" s="46"/>
    </row>
    <row r="30" spans="1:10" s="4" customFormat="1" ht="40.15" customHeight="1" thickBot="1" x14ac:dyDescent="0.25">
      <c r="A30" s="37" t="s">
        <v>14</v>
      </c>
      <c r="B30" s="53">
        <v>231.072</v>
      </c>
      <c r="C30" s="40">
        <v>6382.7611100000004</v>
      </c>
      <c r="D30" s="40">
        <f t="shared" si="7"/>
        <v>1474877.3752099201</v>
      </c>
      <c r="E30" s="41">
        <f>ROUND((D30*20%),2)+D30+H30</f>
        <v>1769852.8552099201</v>
      </c>
      <c r="F30" s="6"/>
      <c r="G30" s="5"/>
      <c r="H30" s="3"/>
      <c r="J30" s="46"/>
    </row>
    <row r="31" spans="1:10" s="11" customFormat="1" ht="40.15" customHeight="1" thickBot="1" x14ac:dyDescent="0.35">
      <c r="A31" s="12" t="s">
        <v>1</v>
      </c>
      <c r="B31" s="54">
        <f>B26-B20</f>
        <v>-64.351999999999975</v>
      </c>
      <c r="C31" s="13">
        <f>C26-C20</f>
        <v>1379.9229260051989</v>
      </c>
      <c r="D31" s="13">
        <f>D26-D20</f>
        <v>-3081.0924585598987</v>
      </c>
      <c r="E31" s="14">
        <f>E26-E20</f>
        <v>-3697.3024585598614</v>
      </c>
      <c r="G31" s="32"/>
      <c r="H31" s="33"/>
      <c r="J31" s="47"/>
    </row>
  </sheetData>
  <mergeCells count="4">
    <mergeCell ref="G17:H17"/>
    <mergeCell ref="A1:E1"/>
    <mergeCell ref="G1:H1"/>
    <mergeCell ref="A17:E17"/>
  </mergeCells>
  <printOptions horizontalCentered="1"/>
  <pageMargins left="0.19685039370078741" right="0.19685039370078741" top="0.39370078740157483" bottom="0.19685039370078741" header="0" footer="0"/>
  <pageSetup paperSize="9" scale="89" fitToHeight="2" orientation="landscape" r:id="rId1"/>
  <rowBreaks count="1" manualBreakCount="1">
    <brk id="16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A903C-A3DB-4770-A4D9-D30B6C12E624}">
  <sheetPr>
    <tabColor rgb="FF002060"/>
    <pageSetUpPr fitToPage="1"/>
  </sheetPr>
  <dimension ref="A1:L31"/>
  <sheetViews>
    <sheetView view="pageBreakPreview" zoomScale="70" zoomScaleNormal="100" zoomScaleSheetLayoutView="70" workbookViewId="0">
      <selection activeCell="A2" sqref="A1:A1048576"/>
    </sheetView>
  </sheetViews>
  <sheetFormatPr defaultColWidth="8.85546875" defaultRowHeight="12.75" outlineLevelRow="1" x14ac:dyDescent="0.2"/>
  <cols>
    <col min="1" max="1" width="45.28515625" style="1" customWidth="1"/>
    <col min="2" max="2" width="14.7109375" style="55" customWidth="1"/>
    <col min="3" max="3" width="22.28515625" style="1" customWidth="1"/>
    <col min="4" max="4" width="22" style="1" customWidth="1"/>
    <col min="5" max="5" width="23.28515625" style="1" customWidth="1"/>
    <col min="6" max="7" width="14.42578125" style="1" hidden="1" customWidth="1"/>
    <col min="8" max="8" width="14.7109375" style="30" hidden="1" customWidth="1"/>
    <col min="9" max="9" width="8.85546875" style="1" hidden="1" customWidth="1"/>
    <col min="10" max="10" width="21.42578125" style="30" hidden="1" customWidth="1"/>
    <col min="11" max="12" width="8.85546875" style="1" hidden="1" customWidth="1"/>
    <col min="13" max="22" width="8.85546875" style="1" customWidth="1"/>
    <col min="23" max="16384" width="8.85546875" style="1"/>
  </cols>
  <sheetData>
    <row r="1" spans="1:10" s="29" customFormat="1" ht="105" customHeight="1" x14ac:dyDescent="0.2">
      <c r="A1" s="118" t="s">
        <v>17</v>
      </c>
      <c r="B1" s="118"/>
      <c r="C1" s="118"/>
      <c r="D1" s="118"/>
      <c r="E1" s="118"/>
      <c r="G1" s="117" t="s">
        <v>12</v>
      </c>
      <c r="H1" s="117"/>
      <c r="J1" s="42" t="s">
        <v>13</v>
      </c>
    </row>
    <row r="2" spans="1:10" ht="13.5" thickBot="1" x14ac:dyDescent="0.25"/>
    <row r="3" spans="1:10" s="2" customFormat="1" ht="59.45" customHeight="1" thickBot="1" x14ac:dyDescent="0.35">
      <c r="A3" s="26" t="s">
        <v>4</v>
      </c>
      <c r="B3" s="56" t="s">
        <v>15</v>
      </c>
      <c r="C3" s="27" t="s">
        <v>0</v>
      </c>
      <c r="D3" s="27" t="s">
        <v>8</v>
      </c>
      <c r="E3" s="28" t="s">
        <v>9</v>
      </c>
      <c r="G3" s="36" t="s">
        <v>10</v>
      </c>
      <c r="H3" s="36" t="s">
        <v>11</v>
      </c>
      <c r="J3" s="43"/>
    </row>
    <row r="4" spans="1:10" s="8" customFormat="1" ht="40.15" customHeight="1" x14ac:dyDescent="0.2">
      <c r="A4" s="15" t="s">
        <v>2</v>
      </c>
      <c r="B4" s="48">
        <f>SUM(B6:B9)</f>
        <v>221.75</v>
      </c>
      <c r="C4" s="16">
        <f>D4/B4</f>
        <v>4817.3396643742954</v>
      </c>
      <c r="D4" s="16">
        <f t="shared" ref="D4:E4" si="0">SUM(D6:D9)</f>
        <v>1068245.070575</v>
      </c>
      <c r="E4" s="17">
        <f t="shared" si="0"/>
        <v>1281894.090575</v>
      </c>
      <c r="G4" s="10"/>
      <c r="H4" s="7"/>
      <c r="J4" s="44">
        <f>B4*C4-D4</f>
        <v>0</v>
      </c>
    </row>
    <row r="5" spans="1:10" s="9" customFormat="1" ht="20.25" x14ac:dyDescent="0.2">
      <c r="A5" s="18" t="s">
        <v>5</v>
      </c>
      <c r="B5" s="49"/>
      <c r="C5" s="19"/>
      <c r="D5" s="19"/>
      <c r="E5" s="20"/>
      <c r="F5" s="8"/>
      <c r="G5" s="10"/>
      <c r="H5" s="31"/>
      <c r="J5" s="45"/>
    </row>
    <row r="6" spans="1:10" s="4" customFormat="1" ht="40.15" hidden="1" customHeight="1" outlineLevel="1" x14ac:dyDescent="0.2">
      <c r="A6" s="21" t="s">
        <v>16</v>
      </c>
      <c r="B6" s="50">
        <v>0</v>
      </c>
      <c r="C6" s="3">
        <v>0</v>
      </c>
      <c r="D6" s="3">
        <f>B6*C6+G6</f>
        <v>0</v>
      </c>
      <c r="E6" s="22">
        <f>ROUND((D6*20%),2)+D6+H6</f>
        <v>0</v>
      </c>
      <c r="F6" s="6"/>
      <c r="G6" s="5"/>
      <c r="H6" s="3"/>
      <c r="J6" s="46"/>
    </row>
    <row r="7" spans="1:10" s="4" customFormat="1" ht="40.15" customHeight="1" collapsed="1" x14ac:dyDescent="0.2">
      <c r="A7" s="21" t="s">
        <v>6</v>
      </c>
      <c r="B7" s="50">
        <v>0</v>
      </c>
      <c r="C7" s="3">
        <v>0</v>
      </c>
      <c r="D7" s="3">
        <f>B7*C7+G7</f>
        <v>0</v>
      </c>
      <c r="E7" s="22">
        <f>ROUND((D7*20%),2)+D7+H7</f>
        <v>0</v>
      </c>
      <c r="F7" s="6"/>
      <c r="G7" s="5"/>
      <c r="H7" s="3"/>
      <c r="J7" s="46"/>
    </row>
    <row r="8" spans="1:10" s="4" customFormat="1" ht="40.15" customHeight="1" thickBot="1" x14ac:dyDescent="0.25">
      <c r="A8" s="23" t="s">
        <v>7</v>
      </c>
      <c r="B8" s="51">
        <v>68</v>
      </c>
      <c r="C8" s="24">
        <v>2045.4657352941178</v>
      </c>
      <c r="D8" s="24">
        <f t="shared" ref="D8" si="1">B8*C8+G8</f>
        <v>139091.69</v>
      </c>
      <c r="E8" s="25">
        <f>ROUND((D8*20%),2)+D8+H8</f>
        <v>166910.03</v>
      </c>
      <c r="F8" s="6"/>
      <c r="G8" s="5">
        <v>0.02</v>
      </c>
      <c r="H8" s="3"/>
      <c r="J8" s="46"/>
    </row>
    <row r="9" spans="1:10" s="4" customFormat="1" ht="40.15" customHeight="1" thickBot="1" x14ac:dyDescent="0.25">
      <c r="A9" s="37" t="s">
        <v>14</v>
      </c>
      <c r="B9" s="52">
        <v>153.75</v>
      </c>
      <c r="C9" s="38">
        <v>6043.2740199999998</v>
      </c>
      <c r="D9" s="38">
        <f t="shared" ref="D9" si="2">B9*C9+G9</f>
        <v>929153.38057499996</v>
      </c>
      <c r="E9" s="39">
        <f>ROUND((D9*20%),2)+D9+H9</f>
        <v>1114984.060575</v>
      </c>
      <c r="F9" s="6"/>
      <c r="G9" s="5"/>
      <c r="H9" s="3"/>
      <c r="J9" s="46"/>
    </row>
    <row r="10" spans="1:10" s="8" customFormat="1" ht="40.15" customHeight="1" x14ac:dyDescent="0.2">
      <c r="A10" s="15" t="s">
        <v>3</v>
      </c>
      <c r="B10" s="48">
        <f>SUM(B12:B14)</f>
        <v>171.66499999999999</v>
      </c>
      <c r="C10" s="16">
        <f>D10/B10</f>
        <v>10240.891327038711</v>
      </c>
      <c r="D10" s="16">
        <f t="shared" ref="D10:E10" si="3">SUM(D12:D14)</f>
        <v>1758002.6096561002</v>
      </c>
      <c r="E10" s="17">
        <f t="shared" si="3"/>
        <v>2109603.1296560997</v>
      </c>
      <c r="G10" s="10"/>
      <c r="H10" s="7"/>
      <c r="J10" s="44">
        <f>B10*C10-D10</f>
        <v>0</v>
      </c>
    </row>
    <row r="11" spans="1:10" s="9" customFormat="1" ht="20.25" x14ac:dyDescent="0.2">
      <c r="A11" s="18" t="s">
        <v>5</v>
      </c>
      <c r="B11" s="49"/>
      <c r="C11" s="19"/>
      <c r="D11" s="19"/>
      <c r="E11" s="20"/>
      <c r="F11" s="8"/>
      <c r="G11" s="10"/>
      <c r="H11" s="31"/>
      <c r="J11" s="45"/>
    </row>
    <row r="12" spans="1:10" s="4" customFormat="1" ht="40.15" customHeight="1" x14ac:dyDescent="0.2">
      <c r="A12" s="21" t="s">
        <v>6</v>
      </c>
      <c r="B12" s="50">
        <v>30</v>
      </c>
      <c r="C12" s="3">
        <v>14860.024000000001</v>
      </c>
      <c r="D12" s="3">
        <f t="shared" ref="D12:D13" si="4">B12*C12+G12</f>
        <v>445800.72000000003</v>
      </c>
      <c r="E12" s="22">
        <f>ROUND((D12*20%),2)+D12+H12</f>
        <v>534960.86</v>
      </c>
      <c r="F12" s="6"/>
      <c r="G12" s="5"/>
      <c r="H12" s="3"/>
      <c r="J12" s="46"/>
    </row>
    <row r="13" spans="1:10" s="4" customFormat="1" ht="40.15" customHeight="1" thickBot="1" x14ac:dyDescent="0.25">
      <c r="A13" s="23" t="s">
        <v>7</v>
      </c>
      <c r="B13" s="51">
        <v>45.3</v>
      </c>
      <c r="C13" s="24">
        <v>10143.800441501104</v>
      </c>
      <c r="D13" s="24">
        <f t="shared" si="4"/>
        <v>459514.14999999997</v>
      </c>
      <c r="E13" s="25">
        <f>ROUND((D13*20%),2)+D13+H13</f>
        <v>551416.98</v>
      </c>
      <c r="F13" s="6"/>
      <c r="G13" s="5">
        <v>-0.01</v>
      </c>
      <c r="H13" s="3"/>
      <c r="J13" s="46"/>
    </row>
    <row r="14" spans="1:10" s="4" customFormat="1" ht="40.15" customHeight="1" thickBot="1" x14ac:dyDescent="0.25">
      <c r="A14" s="37" t="s">
        <v>14</v>
      </c>
      <c r="B14" s="53">
        <v>96.364999999999995</v>
      </c>
      <c r="C14" s="40">
        <v>8848.5211400000007</v>
      </c>
      <c r="D14" s="40">
        <f t="shared" ref="D14" si="5">B14*C14+G14</f>
        <v>852687.73965610005</v>
      </c>
      <c r="E14" s="41">
        <f>ROUND((D14*20%),2)+D14+H14</f>
        <v>1023225.2896561001</v>
      </c>
      <c r="F14" s="6"/>
      <c r="G14" s="5"/>
      <c r="H14" s="3"/>
      <c r="J14" s="46"/>
    </row>
    <row r="15" spans="1:10" s="11" customFormat="1" ht="40.15" customHeight="1" thickBot="1" x14ac:dyDescent="0.35">
      <c r="A15" s="12" t="s">
        <v>1</v>
      </c>
      <c r="B15" s="54">
        <f>B10-B4</f>
        <v>-50.085000000000008</v>
      </c>
      <c r="C15" s="13">
        <f>C10-C4</f>
        <v>5423.5516626644157</v>
      </c>
      <c r="D15" s="13">
        <f>D10-D4</f>
        <v>689757.53908110014</v>
      </c>
      <c r="E15" s="14">
        <f>E10-E4</f>
        <v>827709.03908109968</v>
      </c>
      <c r="G15" s="32"/>
      <c r="H15" s="33"/>
      <c r="J15" s="47"/>
    </row>
    <row r="16" spans="1:10" x14ac:dyDescent="0.2">
      <c r="H16" s="1"/>
    </row>
    <row r="17" spans="1:10" s="29" customFormat="1" ht="105" customHeight="1" x14ac:dyDescent="0.2">
      <c r="A17" s="118" t="s">
        <v>18</v>
      </c>
      <c r="B17" s="118"/>
      <c r="C17" s="118"/>
      <c r="D17" s="118"/>
      <c r="E17" s="118"/>
      <c r="G17" s="117"/>
      <c r="H17" s="117"/>
      <c r="J17" s="42"/>
    </row>
    <row r="18" spans="1:10" ht="13.5" thickBot="1" x14ac:dyDescent="0.25">
      <c r="H18" s="1"/>
    </row>
    <row r="19" spans="1:10" s="2" customFormat="1" ht="59.45" customHeight="1" thickBot="1" x14ac:dyDescent="0.35">
      <c r="A19" s="26" t="s">
        <v>4</v>
      </c>
      <c r="B19" s="56" t="s">
        <v>15</v>
      </c>
      <c r="C19" s="27" t="s">
        <v>0</v>
      </c>
      <c r="D19" s="27" t="s">
        <v>8</v>
      </c>
      <c r="E19" s="28" t="s">
        <v>9</v>
      </c>
      <c r="G19" s="34"/>
      <c r="H19" s="35"/>
      <c r="J19" s="43"/>
    </row>
    <row r="20" spans="1:10" s="8" customFormat="1" ht="40.15" customHeight="1" x14ac:dyDescent="0.2">
      <c r="A20" s="15" t="s">
        <v>2</v>
      </c>
      <c r="B20" s="48">
        <f>SUM(B22:B25)</f>
        <v>289.0920000000001</v>
      </c>
      <c r="C20" s="16">
        <f>D20/B20</f>
        <v>4665.8599126009703</v>
      </c>
      <c r="D20" s="16">
        <f t="shared" ref="D20:E20" si="6">SUM(D22:D25)</f>
        <v>1348862.7738536401</v>
      </c>
      <c r="E20" s="17">
        <f t="shared" si="6"/>
        <v>1618635.3238536401</v>
      </c>
      <c r="G20" s="10"/>
      <c r="H20" s="7"/>
      <c r="J20" s="44">
        <f>B20*C20-D20</f>
        <v>0</v>
      </c>
    </row>
    <row r="21" spans="1:10" s="9" customFormat="1" ht="20.25" x14ac:dyDescent="0.2">
      <c r="A21" s="18" t="s">
        <v>5</v>
      </c>
      <c r="B21" s="49"/>
      <c r="C21" s="19"/>
      <c r="D21" s="19"/>
      <c r="E21" s="20"/>
      <c r="F21" s="8"/>
      <c r="G21" s="10"/>
      <c r="H21" s="31"/>
      <c r="J21" s="45"/>
    </row>
    <row r="22" spans="1:10" s="4" customFormat="1" ht="40.15" hidden="1" customHeight="1" outlineLevel="1" x14ac:dyDescent="0.2">
      <c r="A22" s="21" t="s">
        <v>16</v>
      </c>
      <c r="B22" s="50">
        <v>0</v>
      </c>
      <c r="C22" s="3">
        <v>0</v>
      </c>
      <c r="D22" s="3">
        <f>B22*C22+G22</f>
        <v>0</v>
      </c>
      <c r="E22" s="22">
        <f>ROUND((D22*20%),2)+D22+H22</f>
        <v>0</v>
      </c>
      <c r="F22" s="6"/>
      <c r="G22" s="5"/>
      <c r="H22" s="3"/>
      <c r="J22" s="46"/>
    </row>
    <row r="23" spans="1:10" s="4" customFormat="1" ht="40.15" customHeight="1" collapsed="1" x14ac:dyDescent="0.2">
      <c r="A23" s="21" t="s">
        <v>6</v>
      </c>
      <c r="B23" s="50">
        <v>0</v>
      </c>
      <c r="C23" s="3">
        <v>0</v>
      </c>
      <c r="D23" s="3">
        <f>B23*C23+G23</f>
        <v>0</v>
      </c>
      <c r="E23" s="22">
        <f>ROUND((D23*20%),2)+D23+H23</f>
        <v>0</v>
      </c>
      <c r="F23" s="6"/>
      <c r="G23" s="5"/>
      <c r="H23" s="3"/>
      <c r="J23" s="46"/>
    </row>
    <row r="24" spans="1:10" s="4" customFormat="1" ht="40.15" customHeight="1" thickBot="1" x14ac:dyDescent="0.25">
      <c r="A24" s="23" t="s">
        <v>7</v>
      </c>
      <c r="B24" s="51">
        <v>92.000000000000071</v>
      </c>
      <c r="C24" s="24">
        <v>2086.6125434782593</v>
      </c>
      <c r="D24" s="24">
        <f t="shared" ref="D24" si="7">B24*C24+G24</f>
        <v>191968.37400000001</v>
      </c>
      <c r="E24" s="25">
        <f>ROUND((D24*20%),2)+D24+H24</f>
        <v>230362.04399999999</v>
      </c>
      <c r="F24" s="6"/>
      <c r="G24" s="5">
        <v>0.02</v>
      </c>
      <c r="H24" s="3"/>
      <c r="J24" s="46"/>
    </row>
    <row r="25" spans="1:10" s="4" customFormat="1" ht="40.15" customHeight="1" thickBot="1" x14ac:dyDescent="0.25">
      <c r="A25" s="37" t="s">
        <v>14</v>
      </c>
      <c r="B25" s="52">
        <v>197.09200000000001</v>
      </c>
      <c r="C25" s="38">
        <v>5869.8191699999998</v>
      </c>
      <c r="D25" s="38">
        <f t="shared" ref="D25" si="8">B25*C25+G25</f>
        <v>1156894.39985364</v>
      </c>
      <c r="E25" s="39">
        <f>ROUND((D25*20%),2)+D25+H25</f>
        <v>1388273.2798536401</v>
      </c>
      <c r="F25" s="6"/>
      <c r="G25" s="5"/>
      <c r="H25" s="3"/>
      <c r="J25" s="46"/>
    </row>
    <row r="26" spans="1:10" s="8" customFormat="1" ht="40.15" customHeight="1" x14ac:dyDescent="0.2">
      <c r="A26" s="15" t="s">
        <v>3</v>
      </c>
      <c r="B26" s="48">
        <f>SUM(B28:B30)</f>
        <v>224.99600000000004</v>
      </c>
      <c r="C26" s="16">
        <f>D26/B26</f>
        <v>10656.498033936605</v>
      </c>
      <c r="D26" s="16">
        <f t="shared" ref="D26:E26" si="9">SUM(D28:D30)</f>
        <v>2397669.4316436006</v>
      </c>
      <c r="E26" s="17">
        <f t="shared" si="9"/>
        <v>2877203.3216436002</v>
      </c>
      <c r="G26" s="10"/>
      <c r="H26" s="7"/>
      <c r="J26" s="44">
        <f>B26*C26-D26</f>
        <v>0</v>
      </c>
    </row>
    <row r="27" spans="1:10" s="9" customFormat="1" ht="20.25" x14ac:dyDescent="0.2">
      <c r="A27" s="18" t="s">
        <v>5</v>
      </c>
      <c r="B27" s="49"/>
      <c r="C27" s="19"/>
      <c r="D27" s="19"/>
      <c r="E27" s="20"/>
      <c r="F27" s="8"/>
      <c r="G27" s="10"/>
      <c r="H27" s="31"/>
      <c r="J27" s="45"/>
    </row>
    <row r="28" spans="1:10" s="4" customFormat="1" ht="40.15" customHeight="1" x14ac:dyDescent="0.2">
      <c r="A28" s="21" t="s">
        <v>6</v>
      </c>
      <c r="B28" s="50">
        <v>43.20000000000001</v>
      </c>
      <c r="C28" s="3">
        <v>14834.847916666664</v>
      </c>
      <c r="D28" s="3">
        <f>B28*C28+G28</f>
        <v>640865.3600000001</v>
      </c>
      <c r="E28" s="22">
        <f>ROUND((D28*20%),2)+D28+H28</f>
        <v>769038.43000000017</v>
      </c>
      <c r="F28" s="6"/>
      <c r="G28" s="5">
        <v>-7.0000000000000007E-2</v>
      </c>
      <c r="H28" s="3"/>
      <c r="J28" s="46"/>
    </row>
    <row r="29" spans="1:10" s="4" customFormat="1" ht="40.15" customHeight="1" thickBot="1" x14ac:dyDescent="0.25">
      <c r="A29" s="23" t="s">
        <v>7</v>
      </c>
      <c r="B29" s="51">
        <v>52.800000000000018</v>
      </c>
      <c r="C29" s="24">
        <v>10711.784678030301</v>
      </c>
      <c r="D29" s="24">
        <f t="shared" ref="D29" si="10">B29*C29+G29</f>
        <v>565582.24100000004</v>
      </c>
      <c r="E29" s="25">
        <f>ROUND((D29*20%),2)+D29+H29</f>
        <v>678698.69099999999</v>
      </c>
      <c r="F29" s="6"/>
      <c r="G29" s="5">
        <v>0.01</v>
      </c>
      <c r="H29" s="3"/>
      <c r="J29" s="46"/>
    </row>
    <row r="30" spans="1:10" s="4" customFormat="1" ht="40.15" customHeight="1" thickBot="1" x14ac:dyDescent="0.25">
      <c r="A30" s="37" t="s">
        <v>14</v>
      </c>
      <c r="B30" s="53">
        <v>128.99600000000001</v>
      </c>
      <c r="C30" s="40">
        <v>9234.5640999999996</v>
      </c>
      <c r="D30" s="40">
        <f t="shared" ref="D30" si="11">B30*C30+G30</f>
        <v>1191221.8306436001</v>
      </c>
      <c r="E30" s="41">
        <f>ROUND((D30*20%),2)+D30+H30</f>
        <v>1429466.2006436</v>
      </c>
      <c r="F30" s="6"/>
      <c r="G30" s="5"/>
      <c r="H30" s="3"/>
      <c r="J30" s="46"/>
    </row>
    <row r="31" spans="1:10" s="11" customFormat="1" ht="40.15" customHeight="1" thickBot="1" x14ac:dyDescent="0.35">
      <c r="A31" s="12" t="s">
        <v>1</v>
      </c>
      <c r="B31" s="54">
        <f>B26-B20</f>
        <v>-64.09600000000006</v>
      </c>
      <c r="C31" s="13">
        <f>C26-C20</f>
        <v>5990.6381213356344</v>
      </c>
      <c r="D31" s="13">
        <f>D26-D20</f>
        <v>1048806.6577899605</v>
      </c>
      <c r="E31" s="14">
        <f>E26-E20</f>
        <v>1258567.9977899601</v>
      </c>
      <c r="G31" s="32"/>
      <c r="H31" s="33"/>
      <c r="J31" s="47"/>
    </row>
  </sheetData>
  <mergeCells count="4">
    <mergeCell ref="G17:H17"/>
    <mergeCell ref="A1:E1"/>
    <mergeCell ref="A17:E17"/>
    <mergeCell ref="G1:H1"/>
  </mergeCells>
  <printOptions horizontalCentered="1"/>
  <pageMargins left="0.19685039370078741" right="0.19685039370078741" top="0.39370078740157483" bottom="0.19685039370078741" header="0" footer="0"/>
  <pageSetup paperSize="9" scale="95" fitToHeight="2" orientation="landscape" r:id="rId1"/>
  <rowBreaks count="1" manualBreakCount="1">
    <brk id="16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D1A9-BB32-41C4-9886-BB982AB4B4CC}">
  <sheetPr>
    <tabColor rgb="FFFF0000"/>
    <pageSetUpPr fitToPage="1"/>
  </sheetPr>
  <dimension ref="A1:G31"/>
  <sheetViews>
    <sheetView view="pageBreakPreview" topLeftCell="A16" zoomScaleNormal="100" zoomScaleSheetLayoutView="100" workbookViewId="0">
      <selection activeCell="E16" sqref="E1:E1048576"/>
    </sheetView>
  </sheetViews>
  <sheetFormatPr defaultColWidth="8.85546875" defaultRowHeight="12.75" outlineLevelRow="1" x14ac:dyDescent="0.2"/>
  <cols>
    <col min="1" max="1" width="45.28515625" style="1" customWidth="1"/>
    <col min="2" max="2" width="14.7109375" style="55" customWidth="1"/>
    <col min="3" max="3" width="22.28515625" style="1" customWidth="1"/>
    <col min="4" max="4" width="22" style="1" customWidth="1"/>
    <col min="5" max="5" width="23.28515625" style="1" customWidth="1"/>
    <col min="6" max="6" width="8.85546875" style="1"/>
    <col min="7" max="7" width="12" style="1" bestFit="1" customWidth="1"/>
    <col min="8" max="16384" width="8.85546875" style="1"/>
  </cols>
  <sheetData>
    <row r="1" spans="1:7" s="29" customFormat="1" ht="105" customHeight="1" x14ac:dyDescent="0.2">
      <c r="A1" s="118" t="s">
        <v>21</v>
      </c>
      <c r="B1" s="118"/>
      <c r="C1" s="118"/>
      <c r="D1" s="118"/>
      <c r="E1" s="118"/>
    </row>
    <row r="2" spans="1:7" ht="13.5" thickBot="1" x14ac:dyDescent="0.25"/>
    <row r="3" spans="1:7" s="2" customFormat="1" ht="59.45" customHeight="1" thickBot="1" x14ac:dyDescent="0.35">
      <c r="A3" s="26" t="s">
        <v>4</v>
      </c>
      <c r="B3" s="56" t="s">
        <v>15</v>
      </c>
      <c r="C3" s="27" t="s">
        <v>0</v>
      </c>
      <c r="D3" s="27" t="s">
        <v>8</v>
      </c>
      <c r="E3" s="28" t="s">
        <v>9</v>
      </c>
    </row>
    <row r="4" spans="1:7" s="8" customFormat="1" ht="40.15" customHeight="1" x14ac:dyDescent="0.2">
      <c r="A4" s="15" t="s">
        <v>2</v>
      </c>
      <c r="B4" s="48">
        <f>SUM(B6:B9)</f>
        <v>271.14</v>
      </c>
      <c r="C4" s="16">
        <f>IF(ISERROR(D4/B4),0,D4/B4)</f>
        <v>4476.8760054141912</v>
      </c>
      <c r="D4" s="16">
        <f t="shared" ref="D4:E4" si="0">SUM(D6:D9)</f>
        <v>1213860.1601080038</v>
      </c>
      <c r="E4" s="17">
        <f t="shared" si="0"/>
        <v>1456632.1901080038</v>
      </c>
    </row>
    <row r="5" spans="1:7" s="9" customFormat="1" ht="20.25" x14ac:dyDescent="0.2">
      <c r="A5" s="18" t="s">
        <v>5</v>
      </c>
      <c r="B5" s="49"/>
      <c r="C5" s="19"/>
      <c r="D5" s="19"/>
      <c r="E5" s="20"/>
    </row>
    <row r="6" spans="1:7" s="4" customFormat="1" ht="40.15" hidden="1" customHeight="1" outlineLevel="1" x14ac:dyDescent="0.2">
      <c r="A6" s="21" t="s">
        <v>16</v>
      </c>
      <c r="B6" s="50">
        <v>0</v>
      </c>
      <c r="C6" s="3">
        <v>0</v>
      </c>
      <c r="D6" s="3">
        <f>B6*C6</f>
        <v>0</v>
      </c>
      <c r="E6" s="22">
        <f>ROUND((D6*20%),2)+D6</f>
        <v>0</v>
      </c>
    </row>
    <row r="7" spans="1:7" s="4" customFormat="1" ht="40.15" customHeight="1" collapsed="1" x14ac:dyDescent="0.2">
      <c r="A7" s="21" t="s">
        <v>6</v>
      </c>
      <c r="B7" s="57">
        <v>7.8</v>
      </c>
      <c r="C7" s="58">
        <v>6666.4461538462001</v>
      </c>
      <c r="D7" s="3">
        <f>B7*C7</f>
        <v>51998.280000000363</v>
      </c>
      <c r="E7" s="22">
        <f>ROUND((D7*20%),2)+D7</f>
        <v>62397.940000000366</v>
      </c>
    </row>
    <row r="8" spans="1:7" s="4" customFormat="1" ht="40.15" customHeight="1" thickBot="1" x14ac:dyDescent="0.25">
      <c r="A8" s="23" t="s">
        <v>7</v>
      </c>
      <c r="B8" s="59">
        <v>170.5</v>
      </c>
      <c r="C8" s="60">
        <v>2040.4655131965001</v>
      </c>
      <c r="D8" s="24">
        <f>B8*C8</f>
        <v>347899.37000000325</v>
      </c>
      <c r="E8" s="25">
        <f>ROUND((D8*20%),2)+D8</f>
        <v>417479.24000000325</v>
      </c>
      <c r="G8" s="69"/>
    </row>
    <row r="9" spans="1:7" s="4" customFormat="1" ht="40.15" customHeight="1" thickBot="1" x14ac:dyDescent="0.25">
      <c r="A9" s="37" t="s">
        <v>14</v>
      </c>
      <c r="B9" s="61">
        <v>92.84</v>
      </c>
      <c r="C9" s="62">
        <v>8767.3687000000009</v>
      </c>
      <c r="D9" s="38">
        <f>B9*C9</f>
        <v>813962.51010800013</v>
      </c>
      <c r="E9" s="39">
        <f>ROUND((D9*20%),2)+D9</f>
        <v>976755.01010800013</v>
      </c>
    </row>
    <row r="10" spans="1:7" s="8" customFormat="1" ht="40.15" customHeight="1" x14ac:dyDescent="0.2">
      <c r="A10" s="15" t="s">
        <v>3</v>
      </c>
      <c r="B10" s="63">
        <f>SUM(B12:B14)</f>
        <v>224.32499999999999</v>
      </c>
      <c r="C10" s="64">
        <f>IF(ISERROR(D10/B10),0,D10/B10)</f>
        <v>11040.661986235395</v>
      </c>
      <c r="D10" s="16">
        <f t="shared" ref="D10:E10" si="1">SUM(D12:D14)</f>
        <v>2476696.5000622547</v>
      </c>
      <c r="E10" s="17">
        <f t="shared" si="1"/>
        <v>2972035.8000622545</v>
      </c>
    </row>
    <row r="11" spans="1:7" s="9" customFormat="1" ht="20.25" x14ac:dyDescent="0.2">
      <c r="A11" s="18" t="s">
        <v>5</v>
      </c>
      <c r="B11" s="65"/>
      <c r="C11" s="66"/>
      <c r="D11" s="19"/>
      <c r="E11" s="20"/>
    </row>
    <row r="12" spans="1:7" s="4" customFormat="1" ht="40.15" customHeight="1" x14ac:dyDescent="0.2">
      <c r="A12" s="21" t="s">
        <v>6</v>
      </c>
      <c r="B12" s="57">
        <v>104.1</v>
      </c>
      <c r="C12" s="58">
        <v>14457.287992315099</v>
      </c>
      <c r="D12" s="3">
        <f>B12*C12</f>
        <v>1505003.6800000018</v>
      </c>
      <c r="E12" s="22">
        <f>ROUND((D12*20%),2)+D12</f>
        <v>1806004.4200000018</v>
      </c>
    </row>
    <row r="13" spans="1:7" s="4" customFormat="1" ht="40.15" customHeight="1" thickBot="1" x14ac:dyDescent="0.25">
      <c r="A13" s="23" t="s">
        <v>7</v>
      </c>
      <c r="B13" s="59">
        <v>64.5</v>
      </c>
      <c r="C13" s="60">
        <v>11213.3328682171</v>
      </c>
      <c r="D13" s="24">
        <f>B13*C13</f>
        <v>723259.97000000288</v>
      </c>
      <c r="E13" s="25">
        <f>ROUND((D13*20%),2)+D13</f>
        <v>867911.96000000287</v>
      </c>
    </row>
    <row r="14" spans="1:7" s="4" customFormat="1" ht="40.15" customHeight="1" thickBot="1" x14ac:dyDescent="0.25">
      <c r="A14" s="37" t="s">
        <v>14</v>
      </c>
      <c r="B14" s="67">
        <v>55.725000000000001</v>
      </c>
      <c r="C14" s="68">
        <v>4458.1938099999998</v>
      </c>
      <c r="D14" s="40">
        <f>B14*C14</f>
        <v>248432.85006224999</v>
      </c>
      <c r="E14" s="41">
        <f>ROUND((D14*20%),2)+D14</f>
        <v>298119.42006224999</v>
      </c>
    </row>
    <row r="15" spans="1:7" s="11" customFormat="1" ht="40.15" customHeight="1" thickBot="1" x14ac:dyDescent="0.35">
      <c r="A15" s="12" t="s">
        <v>1</v>
      </c>
      <c r="B15" s="54">
        <f>B10-B4</f>
        <v>-46.814999999999998</v>
      </c>
      <c r="C15" s="13">
        <f>C10-C4</f>
        <v>6563.7859808212033</v>
      </c>
      <c r="D15" s="13">
        <f>D10-D4</f>
        <v>1262836.339954251</v>
      </c>
      <c r="E15" s="14">
        <f>E10-E4</f>
        <v>1515403.6099542507</v>
      </c>
    </row>
    <row r="17" spans="1:5" s="29" customFormat="1" ht="105" customHeight="1" x14ac:dyDescent="0.2">
      <c r="A17" s="118" t="s">
        <v>22</v>
      </c>
      <c r="B17" s="118"/>
      <c r="C17" s="118"/>
      <c r="D17" s="118"/>
      <c r="E17" s="118"/>
    </row>
    <row r="18" spans="1:5" ht="13.5" thickBot="1" x14ac:dyDescent="0.25"/>
    <row r="19" spans="1:5" s="2" customFormat="1" ht="59.45" customHeight="1" thickBot="1" x14ac:dyDescent="0.35">
      <c r="A19" s="26" t="s">
        <v>4</v>
      </c>
      <c r="B19" s="56" t="s">
        <v>15</v>
      </c>
      <c r="C19" s="27" t="s">
        <v>0</v>
      </c>
      <c r="D19" s="27" t="s">
        <v>8</v>
      </c>
      <c r="E19" s="28" t="s">
        <v>9</v>
      </c>
    </row>
    <row r="20" spans="1:5" s="8" customFormat="1" ht="40.15" customHeight="1" x14ac:dyDescent="0.2">
      <c r="A20" s="15" t="s">
        <v>2</v>
      </c>
      <c r="B20" s="48">
        <f>SUM(B22:B25)</f>
        <v>361.67200000000003</v>
      </c>
      <c r="C20" s="16">
        <f>IF(ISERROR(D20/B20),0,D20/B20)</f>
        <v>4245.7608564195298</v>
      </c>
      <c r="D20" s="16">
        <f t="shared" ref="D20:E20" si="2">SUM(D22:D25)</f>
        <v>1535572.8204629642</v>
      </c>
      <c r="E20" s="17">
        <f t="shared" si="2"/>
        <v>1842687.3804629643</v>
      </c>
    </row>
    <row r="21" spans="1:5" s="9" customFormat="1" ht="20.25" x14ac:dyDescent="0.2">
      <c r="A21" s="18" t="s">
        <v>5</v>
      </c>
      <c r="B21" s="49"/>
      <c r="C21" s="19"/>
      <c r="D21" s="19"/>
      <c r="E21" s="20"/>
    </row>
    <row r="22" spans="1:5" s="4" customFormat="1" ht="40.15" hidden="1" customHeight="1" outlineLevel="1" x14ac:dyDescent="0.2">
      <c r="A22" s="21" t="s">
        <v>16</v>
      </c>
      <c r="B22" s="50">
        <v>0</v>
      </c>
      <c r="C22" s="3">
        <v>0</v>
      </c>
      <c r="D22" s="3">
        <f>B22*C22</f>
        <v>0</v>
      </c>
      <c r="E22" s="22">
        <f>ROUND((D22*20%),2)+D22</f>
        <v>0</v>
      </c>
    </row>
    <row r="23" spans="1:5" s="4" customFormat="1" ht="40.15" customHeight="1" collapsed="1" x14ac:dyDescent="0.2">
      <c r="A23" s="21" t="s">
        <v>6</v>
      </c>
      <c r="B23" s="57">
        <v>8.6</v>
      </c>
      <c r="C23" s="58">
        <v>6666.9883720930002</v>
      </c>
      <c r="D23" s="3">
        <f>B23*C23</f>
        <v>57336.099999999802</v>
      </c>
      <c r="E23" s="22">
        <f>ROUND((D23*20%),2)+D23</f>
        <v>68803.319999999803</v>
      </c>
    </row>
    <row r="24" spans="1:5" s="4" customFormat="1" ht="40.15" customHeight="1" thickBot="1" x14ac:dyDescent="0.25">
      <c r="A24" s="23" t="s">
        <v>7</v>
      </c>
      <c r="B24" s="59">
        <v>239.9</v>
      </c>
      <c r="C24" s="60">
        <v>2048.6764068361999</v>
      </c>
      <c r="D24" s="24">
        <f>B24*C24</f>
        <v>491477.4700000044</v>
      </c>
      <c r="E24" s="25">
        <f>ROUND((D24*20%),2)+D24</f>
        <v>589772.96000000439</v>
      </c>
    </row>
    <row r="25" spans="1:5" s="4" customFormat="1" ht="40.15" customHeight="1" thickBot="1" x14ac:dyDescent="0.25">
      <c r="A25" s="37" t="s">
        <v>14</v>
      </c>
      <c r="B25" s="61">
        <v>113.172</v>
      </c>
      <c r="C25" s="62">
        <v>8719.1111799999999</v>
      </c>
      <c r="D25" s="38">
        <f>B25*C25</f>
        <v>986759.25046295999</v>
      </c>
      <c r="E25" s="39">
        <f>ROUND((D25*20%),2)+D25</f>
        <v>1184111.1004629601</v>
      </c>
    </row>
    <row r="26" spans="1:5" s="8" customFormat="1" ht="40.15" customHeight="1" x14ac:dyDescent="0.2">
      <c r="A26" s="15" t="s">
        <v>3</v>
      </c>
      <c r="B26" s="63">
        <f>SUM(B28:B30)</f>
        <v>298.98400000000004</v>
      </c>
      <c r="C26" s="64">
        <f>IF(ISERROR(D26/B26),0,D26/B26)</f>
        <v>11352.032784125184</v>
      </c>
      <c r="D26" s="16">
        <f t="shared" ref="D26:E26" si="3">SUM(D28:D30)</f>
        <v>3394076.1699288841</v>
      </c>
      <c r="E26" s="17">
        <f t="shared" si="3"/>
        <v>4072891.4099288844</v>
      </c>
    </row>
    <row r="27" spans="1:5" s="9" customFormat="1" ht="20.25" x14ac:dyDescent="0.2">
      <c r="A27" s="18" t="s">
        <v>5</v>
      </c>
      <c r="B27" s="65"/>
      <c r="C27" s="66"/>
      <c r="D27" s="19"/>
      <c r="E27" s="20"/>
    </row>
    <row r="28" spans="1:5" s="4" customFormat="1" ht="40.15" customHeight="1" x14ac:dyDescent="0.2">
      <c r="A28" s="21" t="s">
        <v>6</v>
      </c>
      <c r="B28" s="57">
        <v>147.30000000000001</v>
      </c>
      <c r="C28" s="58">
        <v>14438.5752206382</v>
      </c>
      <c r="D28" s="3">
        <f>B28*C28</f>
        <v>2126802.1300000069</v>
      </c>
      <c r="E28" s="22">
        <f>ROUND((D28*20%),2)+D28</f>
        <v>2552162.560000007</v>
      </c>
    </row>
    <row r="29" spans="1:5" s="4" customFormat="1" ht="40.15" customHeight="1" thickBot="1" x14ac:dyDescent="0.25">
      <c r="A29" s="23" t="s">
        <v>7</v>
      </c>
      <c r="B29" s="59">
        <v>88.3</v>
      </c>
      <c r="C29" s="60">
        <v>10928.729331823301</v>
      </c>
      <c r="D29" s="24">
        <f>B29*C29</f>
        <v>965006.79999999737</v>
      </c>
      <c r="E29" s="25">
        <f>ROUND((D29*20%),2)+D29</f>
        <v>1158008.1599999974</v>
      </c>
    </row>
    <row r="30" spans="1:5" s="4" customFormat="1" ht="40.15" customHeight="1" thickBot="1" x14ac:dyDescent="0.25">
      <c r="A30" s="37" t="s">
        <v>14</v>
      </c>
      <c r="B30" s="67">
        <v>63.384</v>
      </c>
      <c r="C30" s="68">
        <v>4768.82557</v>
      </c>
      <c r="D30" s="40">
        <f>B30*C30</f>
        <v>302267.23992888001</v>
      </c>
      <c r="E30" s="41">
        <f>ROUND((D30*20%),2)+D30</f>
        <v>362720.68992888002</v>
      </c>
    </row>
    <row r="31" spans="1:5" s="11" customFormat="1" ht="40.15" customHeight="1" thickBot="1" x14ac:dyDescent="0.35">
      <c r="A31" s="12" t="s">
        <v>1</v>
      </c>
      <c r="B31" s="54">
        <f>B26-B20</f>
        <v>-62.687999999999988</v>
      </c>
      <c r="C31" s="13">
        <f>C26-C20</f>
        <v>7106.271927705654</v>
      </c>
      <c r="D31" s="13">
        <f>D26-D20</f>
        <v>1858503.3494659199</v>
      </c>
      <c r="E31" s="14">
        <f>E26-E20</f>
        <v>2230204.0294659203</v>
      </c>
    </row>
  </sheetData>
  <mergeCells count="2">
    <mergeCell ref="A1:E1"/>
    <mergeCell ref="A17:E17"/>
  </mergeCells>
  <printOptions horizontalCentered="1"/>
  <pageMargins left="0.19685039370078741" right="0.19685039370078741" top="0.39370078740157483" bottom="0.19685039370078741" header="0" footer="0"/>
  <pageSetup paperSize="9" scale="95" fitToHeight="2" orientation="landscape" r:id="rId1"/>
  <rowBreaks count="1" manualBreakCount="1">
    <brk id="16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FE4BE-74D2-42CA-B5E5-8FC6318944ED}">
  <sheetPr>
    <tabColor rgb="FF00B050"/>
    <pageSetUpPr fitToPage="1"/>
  </sheetPr>
  <dimension ref="A1:H32"/>
  <sheetViews>
    <sheetView view="pageBreakPreview" zoomScaleNormal="100" zoomScaleSheetLayoutView="100" workbookViewId="0">
      <selection activeCell="E2" sqref="E1:E1048576"/>
    </sheetView>
  </sheetViews>
  <sheetFormatPr defaultColWidth="8.85546875" defaultRowHeight="12.75" outlineLevelRow="1" x14ac:dyDescent="0.2"/>
  <cols>
    <col min="1" max="1" width="45.28515625" style="1" customWidth="1"/>
    <col min="2" max="2" width="14.7109375" style="55" customWidth="1"/>
    <col min="3" max="3" width="22.28515625" style="1" customWidth="1"/>
    <col min="4" max="4" width="22" style="1" customWidth="1"/>
    <col min="5" max="5" width="23.28515625" style="1" customWidth="1"/>
    <col min="6" max="7" width="18.28515625" style="1" bestFit="1" customWidth="1"/>
    <col min="8" max="8" width="15.28515625" style="1" bestFit="1" customWidth="1"/>
    <col min="9" max="16384" width="8.85546875" style="1"/>
  </cols>
  <sheetData>
    <row r="1" spans="1:8" s="29" customFormat="1" ht="105" customHeight="1" x14ac:dyDescent="0.2">
      <c r="A1" s="118" t="s">
        <v>23</v>
      </c>
      <c r="B1" s="118"/>
      <c r="C1" s="118"/>
      <c r="D1" s="118"/>
      <c r="E1" s="118"/>
    </row>
    <row r="2" spans="1:8" ht="13.5" thickBot="1" x14ac:dyDescent="0.25"/>
    <row r="3" spans="1:8" s="2" customFormat="1" ht="59.45" customHeight="1" thickBot="1" x14ac:dyDescent="0.35">
      <c r="A3" s="26" t="s">
        <v>4</v>
      </c>
      <c r="B3" s="56" t="s">
        <v>15</v>
      </c>
      <c r="C3" s="27" t="s">
        <v>0</v>
      </c>
      <c r="D3" s="27" t="s">
        <v>8</v>
      </c>
      <c r="E3" s="28" t="s">
        <v>9</v>
      </c>
    </row>
    <row r="4" spans="1:8" s="8" customFormat="1" ht="40.15" customHeight="1" x14ac:dyDescent="0.2">
      <c r="A4" s="15" t="s">
        <v>2</v>
      </c>
      <c r="B4" s="48">
        <f>SUM(B6:B9)</f>
        <v>260.58499999999998</v>
      </c>
      <c r="C4" s="16">
        <f>IF(ISERROR(D4/B4),0,D4/B4)</f>
        <v>5220.7799367847292</v>
      </c>
      <c r="D4" s="16">
        <f t="shared" ref="D4:E4" si="0">SUM(D6:D9)</f>
        <v>1360456.9398270485</v>
      </c>
      <c r="E4" s="17">
        <f t="shared" si="0"/>
        <v>1632548.3298270484</v>
      </c>
    </row>
    <row r="5" spans="1:8" s="9" customFormat="1" ht="20.25" x14ac:dyDescent="0.2">
      <c r="A5" s="18" t="s">
        <v>5</v>
      </c>
      <c r="B5" s="49"/>
      <c r="C5" s="19"/>
      <c r="D5" s="19"/>
      <c r="E5" s="20"/>
      <c r="F5" s="8"/>
    </row>
    <row r="6" spans="1:8" s="4" customFormat="1" ht="40.15" hidden="1" customHeight="1" outlineLevel="1" x14ac:dyDescent="0.2">
      <c r="A6" s="21" t="s">
        <v>16</v>
      </c>
      <c r="B6" s="50">
        <v>0</v>
      </c>
      <c r="C6" s="3">
        <v>0</v>
      </c>
      <c r="D6" s="3">
        <f>B6*C6</f>
        <v>0</v>
      </c>
      <c r="E6" s="22">
        <f>ROUND((D6*20%),2)+D6</f>
        <v>0</v>
      </c>
      <c r="F6" s="6"/>
    </row>
    <row r="7" spans="1:8" s="4" customFormat="1" ht="40.15" customHeight="1" collapsed="1" x14ac:dyDescent="0.2">
      <c r="A7" s="21" t="s">
        <v>6</v>
      </c>
      <c r="B7" s="57">
        <v>91.699999999999974</v>
      </c>
      <c r="C7" s="58">
        <v>3396.1526717556999</v>
      </c>
      <c r="D7" s="3">
        <f>B7*C7</f>
        <v>311427.19999999757</v>
      </c>
      <c r="E7" s="22">
        <f>ROUND((D7*20%),2)+D7</f>
        <v>373712.63999999757</v>
      </c>
      <c r="F7" s="6"/>
    </row>
    <row r="8" spans="1:8" s="4" customFormat="1" ht="40.15" customHeight="1" thickBot="1" x14ac:dyDescent="0.25">
      <c r="A8" s="23" t="s">
        <v>7</v>
      </c>
      <c r="B8" s="59">
        <v>35.299999999999997</v>
      </c>
      <c r="C8" s="60">
        <v>3437.6906515580999</v>
      </c>
      <c r="D8" s="24">
        <f>B8*C8</f>
        <v>121350.48000000091</v>
      </c>
      <c r="E8" s="25">
        <f>ROUND((D8*20%),2)+D8</f>
        <v>145620.58000000092</v>
      </c>
      <c r="F8" s="6"/>
    </row>
    <row r="9" spans="1:8" s="4" customFormat="1" ht="40.15" customHeight="1" thickBot="1" x14ac:dyDescent="0.25">
      <c r="A9" s="37" t="s">
        <v>14</v>
      </c>
      <c r="B9" s="71">
        <v>133.58500000000001</v>
      </c>
      <c r="C9" s="72">
        <v>6944.4867299999996</v>
      </c>
      <c r="D9" s="38">
        <f>B9*C9</f>
        <v>927679.25982705003</v>
      </c>
      <c r="E9" s="39">
        <f>ROUND((D9*20%),2)+D9</f>
        <v>1113215.10982705</v>
      </c>
      <c r="F9" s="6"/>
      <c r="G9" s="70"/>
      <c r="H9" s="70"/>
    </row>
    <row r="10" spans="1:8" s="8" customFormat="1" ht="40.15" customHeight="1" x14ac:dyDescent="0.2">
      <c r="A10" s="15" t="s">
        <v>3</v>
      </c>
      <c r="B10" s="63">
        <f>SUM(B12:B14)</f>
        <v>209.40499999999997</v>
      </c>
      <c r="C10" s="64">
        <f>IF(ISERROR(D10/B10),0,D10/B10)</f>
        <v>10306.553091779107</v>
      </c>
      <c r="D10" s="16">
        <f t="shared" ref="D10:E10" si="1">SUM(D12:D14)</f>
        <v>2158243.7501840037</v>
      </c>
      <c r="E10" s="17">
        <f t="shared" si="1"/>
        <v>2589892.5001840037</v>
      </c>
      <c r="G10" s="44"/>
      <c r="H10" s="44"/>
    </row>
    <row r="11" spans="1:8" s="9" customFormat="1" ht="20.25" x14ac:dyDescent="0.2">
      <c r="A11" s="18" t="s">
        <v>5</v>
      </c>
      <c r="B11" s="65"/>
      <c r="C11" s="66"/>
      <c r="D11" s="19"/>
      <c r="E11" s="20"/>
      <c r="F11" s="44"/>
      <c r="G11" s="44"/>
      <c r="H11" s="44"/>
    </row>
    <row r="12" spans="1:8" s="4" customFormat="1" ht="40.15" customHeight="1" x14ac:dyDescent="0.2">
      <c r="A12" s="21" t="s">
        <v>6</v>
      </c>
      <c r="B12" s="57">
        <v>89.399999999999991</v>
      </c>
      <c r="C12" s="58">
        <v>13208.967114094001</v>
      </c>
      <c r="D12" s="3">
        <f>B12*C12</f>
        <v>1180881.6600000036</v>
      </c>
      <c r="E12" s="22">
        <f>ROUND((D12*20%),2)+D12</f>
        <v>1417057.9900000037</v>
      </c>
      <c r="F12" s="6"/>
      <c r="G12" s="44"/>
    </row>
    <row r="13" spans="1:8" s="4" customFormat="1" ht="40.15" customHeight="1" thickBot="1" x14ac:dyDescent="0.25">
      <c r="A13" s="23" t="s">
        <v>7</v>
      </c>
      <c r="B13" s="59">
        <v>38.5</v>
      </c>
      <c r="C13" s="60">
        <v>11498.0064935065</v>
      </c>
      <c r="D13" s="24">
        <f>B13*C13</f>
        <v>442673.25000000023</v>
      </c>
      <c r="E13" s="25">
        <f>ROUND((D13*20%),2)+D13</f>
        <v>531207.90000000026</v>
      </c>
      <c r="F13" s="6"/>
    </row>
    <row r="14" spans="1:8" s="4" customFormat="1" ht="40.15" customHeight="1" thickBot="1" x14ac:dyDescent="0.25">
      <c r="A14" s="37" t="s">
        <v>14</v>
      </c>
      <c r="B14" s="73">
        <v>81.504999999999995</v>
      </c>
      <c r="C14" s="74">
        <v>6560.1967999999997</v>
      </c>
      <c r="D14" s="40">
        <f>B14*C14</f>
        <v>534688.84018399997</v>
      </c>
      <c r="E14" s="41">
        <f>ROUND((D14*20%),2)+D14</f>
        <v>641626.61018399999</v>
      </c>
      <c r="F14" s="47"/>
      <c r="G14" s="47"/>
    </row>
    <row r="15" spans="1:8" s="11" customFormat="1" ht="40.15" customHeight="1" thickBot="1" x14ac:dyDescent="0.35">
      <c r="A15" s="12" t="s">
        <v>1</v>
      </c>
      <c r="B15" s="54">
        <f>B10-B4</f>
        <v>-51.180000000000007</v>
      </c>
      <c r="C15" s="13">
        <f>C10-C4</f>
        <v>5085.7731549943783</v>
      </c>
      <c r="D15" s="13">
        <f>D10-D4</f>
        <v>797786.81035695528</v>
      </c>
      <c r="E15" s="14">
        <f>E10-E4</f>
        <v>957344.17035695538</v>
      </c>
    </row>
    <row r="17" spans="1:8" s="29" customFormat="1" ht="105" customHeight="1" x14ac:dyDescent="0.2">
      <c r="A17" s="118" t="s">
        <v>24</v>
      </c>
      <c r="B17" s="118"/>
      <c r="C17" s="118"/>
      <c r="D17" s="118"/>
      <c r="E17" s="118"/>
    </row>
    <row r="18" spans="1:8" ht="13.5" thickBot="1" x14ac:dyDescent="0.25"/>
    <row r="19" spans="1:8" s="2" customFormat="1" ht="59.45" customHeight="1" thickBot="1" x14ac:dyDescent="0.35">
      <c r="A19" s="26" t="s">
        <v>4</v>
      </c>
      <c r="B19" s="56" t="s">
        <v>15</v>
      </c>
      <c r="C19" s="27" t="s">
        <v>0</v>
      </c>
      <c r="D19" s="27" t="s">
        <v>8</v>
      </c>
      <c r="E19" s="28" t="s">
        <v>9</v>
      </c>
    </row>
    <row r="20" spans="1:8" s="8" customFormat="1" ht="40.15" customHeight="1" x14ac:dyDescent="0.2">
      <c r="A20" s="15" t="s">
        <v>2</v>
      </c>
      <c r="B20" s="48">
        <f>SUM(B22:B25)</f>
        <v>353.99599999999998</v>
      </c>
      <c r="C20" s="16">
        <f>IF(ISERROR(D20/B20),0,D20/B20)</f>
        <v>5056.0548420230789</v>
      </c>
      <c r="D20" s="16">
        <f t="shared" ref="D20:E20" si="2">SUM(D22:D25)</f>
        <v>1789823.1898568016</v>
      </c>
      <c r="E20" s="17">
        <f t="shared" si="2"/>
        <v>2147787.8298568018</v>
      </c>
    </row>
    <row r="21" spans="1:8" s="9" customFormat="1" ht="20.25" x14ac:dyDescent="0.2">
      <c r="A21" s="18" t="s">
        <v>5</v>
      </c>
      <c r="B21" s="49"/>
      <c r="C21" s="19"/>
      <c r="D21" s="19"/>
      <c r="E21" s="20"/>
      <c r="F21" s="8"/>
    </row>
    <row r="22" spans="1:8" s="4" customFormat="1" ht="40.15" hidden="1" customHeight="1" outlineLevel="1" x14ac:dyDescent="0.2">
      <c r="A22" s="21" t="s">
        <v>16</v>
      </c>
      <c r="B22" s="50">
        <v>0</v>
      </c>
      <c r="C22" s="3">
        <v>0</v>
      </c>
      <c r="D22" s="3">
        <f>B22*C22</f>
        <v>0</v>
      </c>
      <c r="E22" s="22">
        <f>ROUND((D22*20%),2)+D22</f>
        <v>0</v>
      </c>
      <c r="F22" s="6"/>
    </row>
    <row r="23" spans="1:8" s="4" customFormat="1" ht="40.15" customHeight="1" collapsed="1" x14ac:dyDescent="0.2">
      <c r="A23" s="21" t="s">
        <v>6</v>
      </c>
      <c r="B23" s="57">
        <v>130.20000000000002</v>
      </c>
      <c r="C23" s="58">
        <v>3471.1336405530001</v>
      </c>
      <c r="D23" s="3">
        <f>B23*C23</f>
        <v>451941.60000000068</v>
      </c>
      <c r="E23" s="22">
        <f>ROUND((D23*20%),2)+D23</f>
        <v>542329.92000000062</v>
      </c>
      <c r="F23" s="6"/>
    </row>
    <row r="24" spans="1:8" s="4" customFormat="1" ht="40.15" customHeight="1" thickBot="1" x14ac:dyDescent="0.25">
      <c r="A24" s="23" t="s">
        <v>7</v>
      </c>
      <c r="B24" s="59">
        <v>51.099999999999994</v>
      </c>
      <c r="C24" s="60">
        <v>3741.6720156555998</v>
      </c>
      <c r="D24" s="24">
        <f>B24*C24</f>
        <v>191199.44000000114</v>
      </c>
      <c r="E24" s="25">
        <f>ROUND((D24*20%),2)+D24</f>
        <v>229439.33000000112</v>
      </c>
      <c r="F24" s="6"/>
    </row>
    <row r="25" spans="1:8" s="4" customFormat="1" ht="40.15" customHeight="1" thickBot="1" x14ac:dyDescent="0.25">
      <c r="A25" s="37" t="s">
        <v>14</v>
      </c>
      <c r="B25" s="71">
        <v>172.696</v>
      </c>
      <c r="C25" s="72">
        <v>6639.8882999999996</v>
      </c>
      <c r="D25" s="38">
        <f>B25*C25</f>
        <v>1146682.1498568</v>
      </c>
      <c r="E25" s="39">
        <f>ROUND((D25*20%),2)+D25</f>
        <v>1376018.5798567999</v>
      </c>
      <c r="F25" s="6"/>
      <c r="G25" s="70"/>
      <c r="H25" s="70"/>
    </row>
    <row r="26" spans="1:8" s="8" customFormat="1" ht="40.15" customHeight="1" x14ac:dyDescent="0.2">
      <c r="A26" s="15" t="s">
        <v>3</v>
      </c>
      <c r="B26" s="63">
        <f>SUM(B28:B30)</f>
        <v>287.58000000000004</v>
      </c>
      <c r="C26" s="64">
        <f>IF(ISERROR(D26/B26),0,D26/B26)</f>
        <v>10600.982926771672</v>
      </c>
      <c r="D26" s="16">
        <f t="shared" ref="D26:E26" si="3">SUM(D28:D30)</f>
        <v>3048630.670080998</v>
      </c>
      <c r="E26" s="17">
        <f t="shared" si="3"/>
        <v>3658356.8100809976</v>
      </c>
      <c r="G26" s="44"/>
      <c r="H26" s="44"/>
    </row>
    <row r="27" spans="1:8" s="9" customFormat="1" ht="20.25" x14ac:dyDescent="0.2">
      <c r="A27" s="18" t="s">
        <v>5</v>
      </c>
      <c r="B27" s="65"/>
      <c r="C27" s="66"/>
      <c r="D27" s="19"/>
      <c r="E27" s="20"/>
      <c r="F27" s="44"/>
      <c r="G27" s="44"/>
      <c r="H27" s="44"/>
    </row>
    <row r="28" spans="1:8" s="4" customFormat="1" ht="40.15" customHeight="1" x14ac:dyDescent="0.2">
      <c r="A28" s="21" t="s">
        <v>6</v>
      </c>
      <c r="B28" s="57">
        <v>130.50000000000003</v>
      </c>
      <c r="C28" s="58">
        <v>13186.2017624521</v>
      </c>
      <c r="D28" s="3">
        <f>B28*C28</f>
        <v>1720799.3299999994</v>
      </c>
      <c r="E28" s="22">
        <f>ROUND((D28*20%),2)+D28</f>
        <v>2064959.1999999993</v>
      </c>
      <c r="F28" s="6"/>
      <c r="G28" s="44"/>
    </row>
    <row r="29" spans="1:8" s="4" customFormat="1" ht="40.15" customHeight="1" thickBot="1" x14ac:dyDescent="0.25">
      <c r="A29" s="23" t="s">
        <v>7</v>
      </c>
      <c r="B29" s="59">
        <v>52.300000000000018</v>
      </c>
      <c r="C29" s="60">
        <v>11542.3701720841</v>
      </c>
      <c r="D29" s="24">
        <f>B29*C29</f>
        <v>603665.95999999868</v>
      </c>
      <c r="E29" s="25">
        <f>ROUND((D29*20%),2)+D29</f>
        <v>724399.14999999874</v>
      </c>
      <c r="F29" s="6"/>
    </row>
    <row r="30" spans="1:8" s="4" customFormat="1" ht="40.15" customHeight="1" thickBot="1" x14ac:dyDescent="0.25">
      <c r="A30" s="37" t="s">
        <v>14</v>
      </c>
      <c r="B30" s="73">
        <v>104.78</v>
      </c>
      <c r="C30" s="74">
        <v>6911.2939500000002</v>
      </c>
      <c r="D30" s="40">
        <f>B30*C30</f>
        <v>724165.38008100004</v>
      </c>
      <c r="E30" s="41">
        <f>ROUND((D30*20%),2)+D30</f>
        <v>868998.460081</v>
      </c>
      <c r="F30" s="6"/>
    </row>
    <row r="31" spans="1:8" s="11" customFormat="1" ht="40.15" customHeight="1" thickBot="1" x14ac:dyDescent="0.35">
      <c r="A31" s="12" t="s">
        <v>1</v>
      </c>
      <c r="B31" s="54">
        <f>B26-B20</f>
        <v>-66.41599999999994</v>
      </c>
      <c r="C31" s="13">
        <f>C26-C20</f>
        <v>5544.9280847485934</v>
      </c>
      <c r="D31" s="13">
        <f>D26-D20</f>
        <v>1258807.4802241963</v>
      </c>
      <c r="E31" s="14">
        <f>E26-E20</f>
        <v>1510568.9802241959</v>
      </c>
      <c r="F31" s="47"/>
      <c r="G31" s="47"/>
    </row>
    <row r="32" spans="1:8" ht="22.5" x14ac:dyDescent="0.2">
      <c r="G32" s="47"/>
    </row>
  </sheetData>
  <mergeCells count="2">
    <mergeCell ref="A1:E1"/>
    <mergeCell ref="A17:E17"/>
  </mergeCells>
  <printOptions horizontalCentered="1"/>
  <pageMargins left="0.19685039370078741" right="0.19685039370078741" top="0.39370078740157483" bottom="0.19685039370078741" header="0" footer="0"/>
  <pageSetup paperSize="9" scale="95" fitToHeight="2" orientation="landscape" r:id="rId1"/>
  <rowBreaks count="1" manualBreakCount="1">
    <brk id="16" max="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4D03B-6EBB-44D4-8CE9-F235E82ECB6F}">
  <sheetPr>
    <tabColor theme="9" tint="-0.499984740745262"/>
    <pageSetUpPr fitToPage="1"/>
  </sheetPr>
  <dimension ref="A1:K32"/>
  <sheetViews>
    <sheetView view="pageBreakPreview" zoomScaleNormal="100" zoomScaleSheetLayoutView="100" workbookViewId="0">
      <selection activeCell="E2" sqref="E1:E1048576"/>
    </sheetView>
  </sheetViews>
  <sheetFormatPr defaultColWidth="8.85546875" defaultRowHeight="12.75" outlineLevelRow="1" x14ac:dyDescent="0.2"/>
  <cols>
    <col min="1" max="1" width="45.28515625" style="1" customWidth="1"/>
    <col min="2" max="2" width="14.7109375" style="55" customWidth="1"/>
    <col min="3" max="3" width="22.28515625" style="1" customWidth="1"/>
    <col min="4" max="4" width="22" style="1" customWidth="1"/>
    <col min="5" max="5" width="23.28515625" style="1" customWidth="1"/>
    <col min="6" max="7" width="18.28515625" style="1" bestFit="1" customWidth="1"/>
    <col min="8" max="8" width="15.28515625" style="1" bestFit="1" customWidth="1"/>
    <col min="9" max="10" width="16.42578125" style="1" bestFit="1" customWidth="1"/>
    <col min="11" max="11" width="15.28515625" style="1" bestFit="1" customWidth="1"/>
    <col min="12" max="16384" width="8.85546875" style="1"/>
  </cols>
  <sheetData>
    <row r="1" spans="1:11" s="29" customFormat="1" ht="105" customHeight="1" x14ac:dyDescent="0.2">
      <c r="A1" s="118" t="s">
        <v>25</v>
      </c>
      <c r="B1" s="118"/>
      <c r="C1" s="118"/>
      <c r="D1" s="118"/>
      <c r="E1" s="118"/>
    </row>
    <row r="2" spans="1:11" ht="13.5" thickBot="1" x14ac:dyDescent="0.25"/>
    <row r="3" spans="1:11" s="2" customFormat="1" ht="59.45" customHeight="1" thickBot="1" x14ac:dyDescent="0.35">
      <c r="A3" s="26" t="s">
        <v>4</v>
      </c>
      <c r="B3" s="56" t="s">
        <v>15</v>
      </c>
      <c r="C3" s="27" t="s">
        <v>0</v>
      </c>
      <c r="D3" s="27" t="s">
        <v>8</v>
      </c>
      <c r="E3" s="28" t="s">
        <v>9</v>
      </c>
    </row>
    <row r="4" spans="1:11" s="8" customFormat="1" ht="40.15" customHeight="1" x14ac:dyDescent="0.2">
      <c r="A4" s="15" t="s">
        <v>2</v>
      </c>
      <c r="B4" s="48">
        <f>SUM(B6:B9)</f>
        <v>308.85000000000002</v>
      </c>
      <c r="C4" s="16">
        <f>IF(ISERROR(D4/B4),0,D4/B4)</f>
        <v>6828.5854617209116</v>
      </c>
      <c r="D4" s="16">
        <f t="shared" ref="D4:E4" si="0">SUM(D6:D9)</f>
        <v>2109008.6198525038</v>
      </c>
      <c r="E4" s="17">
        <f t="shared" si="0"/>
        <v>2530810.3499999996</v>
      </c>
    </row>
    <row r="5" spans="1:11" s="9" customFormat="1" ht="20.25" x14ac:dyDescent="0.2">
      <c r="A5" s="18" t="s">
        <v>5</v>
      </c>
      <c r="B5" s="49"/>
      <c r="C5" s="19"/>
      <c r="D5" s="19"/>
      <c r="E5" s="20"/>
      <c r="F5" s="8"/>
    </row>
    <row r="6" spans="1:11" s="4" customFormat="1" ht="40.15" hidden="1" customHeight="1" outlineLevel="1" x14ac:dyDescent="0.2">
      <c r="A6" s="21" t="s">
        <v>16</v>
      </c>
      <c r="B6" s="50">
        <v>0</v>
      </c>
      <c r="C6" s="3">
        <v>0</v>
      </c>
      <c r="D6" s="3">
        <f>B6*C6</f>
        <v>0</v>
      </c>
      <c r="E6" s="22">
        <f>ROUND((D6*20%),2)+D6</f>
        <v>0</v>
      </c>
      <c r="F6" s="6"/>
    </row>
    <row r="7" spans="1:11" s="4" customFormat="1" ht="40.15" customHeight="1" collapsed="1" x14ac:dyDescent="0.2">
      <c r="A7" s="21" t="s">
        <v>6</v>
      </c>
      <c r="B7" s="57">
        <v>143.80000000000001</v>
      </c>
      <c r="C7" s="58">
        <v>5285.2446453408002</v>
      </c>
      <c r="D7" s="3">
        <f>B7*C7</f>
        <v>760018.18000000715</v>
      </c>
      <c r="E7" s="22">
        <f>ROUND((ROUND((D7*20%),2)+D7),2)</f>
        <v>912021.82</v>
      </c>
      <c r="F7" s="6"/>
    </row>
    <row r="8" spans="1:11" s="4" customFormat="1" ht="40.15" customHeight="1" thickBot="1" x14ac:dyDescent="0.25">
      <c r="A8" s="23" t="s">
        <v>7</v>
      </c>
      <c r="B8" s="59">
        <v>65.8</v>
      </c>
      <c r="C8" s="60">
        <v>5904.176899696</v>
      </c>
      <c r="D8" s="24">
        <f>B8*C8</f>
        <v>388494.83999999677</v>
      </c>
      <c r="E8" s="25">
        <f>ROUND((ROUND((D8*20%),2)+D8),2)</f>
        <v>466193.81</v>
      </c>
      <c r="F8" s="6"/>
      <c r="G8" s="81"/>
      <c r="H8" s="81"/>
      <c r="I8" s="81"/>
      <c r="J8" s="81"/>
    </row>
    <row r="9" spans="1:11" s="4" customFormat="1" ht="40.15" customHeight="1" thickBot="1" x14ac:dyDescent="0.25">
      <c r="A9" s="37" t="s">
        <v>14</v>
      </c>
      <c r="B9" s="71">
        <v>99.25</v>
      </c>
      <c r="C9" s="72">
        <v>9677.5375299999996</v>
      </c>
      <c r="D9" s="38">
        <f>B9*C9</f>
        <v>960495.59985250002</v>
      </c>
      <c r="E9" s="39">
        <f>ROUND((ROUND((D9*20%),2)+D9),2)</f>
        <v>1152594.72</v>
      </c>
      <c r="F9" s="6"/>
      <c r="G9" s="47"/>
      <c r="H9" s="47"/>
      <c r="I9" s="47"/>
      <c r="J9" s="47"/>
      <c r="K9" s="46"/>
    </row>
    <row r="10" spans="1:11" s="8" customFormat="1" ht="40.15" customHeight="1" x14ac:dyDescent="0.2">
      <c r="A10" s="15" t="s">
        <v>3</v>
      </c>
      <c r="B10" s="63">
        <f>SUM(B12:B14)</f>
        <v>250.74</v>
      </c>
      <c r="C10" s="64">
        <f>IF(ISERROR(D10/B10),0,D10/B10)</f>
        <v>11774.033142358623</v>
      </c>
      <c r="D10" s="16">
        <f t="shared" ref="D10:E10" si="1">SUM(D12:D14)</f>
        <v>2952221.0701150014</v>
      </c>
      <c r="E10" s="17">
        <f t="shared" si="1"/>
        <v>3542665.28</v>
      </c>
      <c r="G10" s="44"/>
      <c r="H10" s="44"/>
    </row>
    <row r="11" spans="1:11" s="9" customFormat="1" ht="20.25" x14ac:dyDescent="0.2">
      <c r="A11" s="18" t="s">
        <v>5</v>
      </c>
      <c r="B11" s="65"/>
      <c r="C11" s="66"/>
      <c r="D11" s="19"/>
      <c r="E11" s="20"/>
      <c r="F11" s="44"/>
      <c r="G11" s="44"/>
      <c r="H11" s="44"/>
    </row>
    <row r="12" spans="1:11" s="4" customFormat="1" ht="40.15" customHeight="1" x14ac:dyDescent="0.2">
      <c r="A12" s="21" t="s">
        <v>6</v>
      </c>
      <c r="B12" s="57">
        <v>127.9</v>
      </c>
      <c r="C12" s="58">
        <v>13110.5406567631</v>
      </c>
      <c r="D12" s="3">
        <f>B12*C12</f>
        <v>1676838.1500000006</v>
      </c>
      <c r="E12" s="22">
        <f>ROUND((ROUND((D12*20%),2)+D12),2)</f>
        <v>2012205.78</v>
      </c>
      <c r="F12" s="6"/>
      <c r="G12" s="44"/>
    </row>
    <row r="13" spans="1:11" s="4" customFormat="1" ht="40.15" customHeight="1" thickBot="1" x14ac:dyDescent="0.25">
      <c r="A13" s="23" t="s">
        <v>7</v>
      </c>
      <c r="B13" s="59">
        <v>67.099999999999994</v>
      </c>
      <c r="C13" s="60">
        <v>12707.657228017901</v>
      </c>
      <c r="D13" s="24">
        <f>B13*C13</f>
        <v>852683.80000000109</v>
      </c>
      <c r="E13" s="25">
        <f>ROUND((ROUND((D13*20%),2)+D13),2)</f>
        <v>1023220.56</v>
      </c>
      <c r="F13" s="6"/>
      <c r="G13" s="81"/>
    </row>
    <row r="14" spans="1:11" s="4" customFormat="1" ht="40.15" customHeight="1" thickBot="1" x14ac:dyDescent="0.25">
      <c r="A14" s="37" t="s">
        <v>14</v>
      </c>
      <c r="B14" s="73">
        <v>55.74</v>
      </c>
      <c r="C14" s="74">
        <v>7583.4072500000002</v>
      </c>
      <c r="D14" s="40">
        <f>B14*C14</f>
        <v>422699.120115</v>
      </c>
      <c r="E14" s="41">
        <f>ROUND((ROUND((D14*20%),2)+D14),2)</f>
        <v>507238.94</v>
      </c>
      <c r="F14" s="47"/>
      <c r="G14" s="47"/>
    </row>
    <row r="15" spans="1:11" s="11" customFormat="1" ht="40.15" customHeight="1" thickBot="1" x14ac:dyDescent="0.35">
      <c r="A15" s="12" t="s">
        <v>1</v>
      </c>
      <c r="B15" s="54">
        <f>B10-B4</f>
        <v>-58.110000000000014</v>
      </c>
      <c r="C15" s="13">
        <f>C10-C4</f>
        <v>4945.4476806377115</v>
      </c>
      <c r="D15" s="13">
        <f>D10-D4</f>
        <v>843212.45026249764</v>
      </c>
      <c r="E15" s="14">
        <f>E10-E4</f>
        <v>1011854.9300000002</v>
      </c>
    </row>
    <row r="17" spans="1:11" s="29" customFormat="1" ht="105" customHeight="1" x14ac:dyDescent="0.2">
      <c r="A17" s="118" t="s">
        <v>26</v>
      </c>
      <c r="B17" s="118"/>
      <c r="C17" s="118"/>
      <c r="D17" s="118"/>
      <c r="E17" s="118"/>
    </row>
    <row r="18" spans="1:11" ht="13.5" thickBot="1" x14ac:dyDescent="0.25"/>
    <row r="19" spans="1:11" s="2" customFormat="1" ht="59.45" customHeight="1" thickBot="1" x14ac:dyDescent="0.35">
      <c r="A19" s="26" t="s">
        <v>4</v>
      </c>
      <c r="B19" s="56" t="s">
        <v>15</v>
      </c>
      <c r="C19" s="27" t="s">
        <v>0</v>
      </c>
      <c r="D19" s="27" t="s">
        <v>8</v>
      </c>
      <c r="E19" s="28" t="s">
        <v>9</v>
      </c>
    </row>
    <row r="20" spans="1:11" s="8" customFormat="1" ht="40.15" customHeight="1" x14ac:dyDescent="0.2">
      <c r="A20" s="15" t="s">
        <v>2</v>
      </c>
      <c r="B20" s="48">
        <f>SUM(B22:B25)</f>
        <v>423.41599999999994</v>
      </c>
      <c r="C20" s="16">
        <f>IF(ISERROR(D20/B20),0,D20/B20)</f>
        <v>6727.2912701810101</v>
      </c>
      <c r="D20" s="16">
        <f t="shared" ref="D20:E20" si="2">SUM(D22:D25)</f>
        <v>2848442.760454962</v>
      </c>
      <c r="E20" s="17">
        <f t="shared" si="2"/>
        <v>3418131.31</v>
      </c>
    </row>
    <row r="21" spans="1:11" s="9" customFormat="1" ht="20.25" x14ac:dyDescent="0.2">
      <c r="A21" s="18" t="s">
        <v>5</v>
      </c>
      <c r="B21" s="49"/>
      <c r="C21" s="19"/>
      <c r="D21" s="19"/>
      <c r="E21" s="20"/>
      <c r="F21" s="8"/>
    </row>
    <row r="22" spans="1:11" s="4" customFormat="1" ht="40.15" hidden="1" customHeight="1" outlineLevel="1" x14ac:dyDescent="0.2">
      <c r="A22" s="21" t="s">
        <v>16</v>
      </c>
      <c r="B22" s="50">
        <v>0</v>
      </c>
      <c r="C22" s="3">
        <v>0</v>
      </c>
      <c r="D22" s="3">
        <f>B22*C22</f>
        <v>0</v>
      </c>
      <c r="E22" s="22">
        <f>ROUND((D22*20%),2)+D22</f>
        <v>0</v>
      </c>
      <c r="F22" s="6"/>
    </row>
    <row r="23" spans="1:11" s="4" customFormat="1" ht="40.15" customHeight="1" collapsed="1" x14ac:dyDescent="0.2">
      <c r="A23" s="21" t="s">
        <v>6</v>
      </c>
      <c r="B23" s="57">
        <v>207.2</v>
      </c>
      <c r="C23" s="58">
        <v>5318.0752895753003</v>
      </c>
      <c r="D23" s="3">
        <f>B23*C23</f>
        <v>1101905.200000002</v>
      </c>
      <c r="E23" s="22">
        <f>ROUND((ROUND((D23*20%),2)+D23),2)</f>
        <v>1322286.24</v>
      </c>
      <c r="F23" s="6"/>
    </row>
    <row r="24" spans="1:11" s="4" customFormat="1" ht="40.15" customHeight="1" thickBot="1" x14ac:dyDescent="0.25">
      <c r="A24" s="23" t="s">
        <v>7</v>
      </c>
      <c r="B24" s="59">
        <v>93.6</v>
      </c>
      <c r="C24" s="60">
        <v>6052.35</v>
      </c>
      <c r="D24" s="24">
        <f>B24*C24</f>
        <v>566499.96</v>
      </c>
      <c r="E24" s="25">
        <f>ROUND((ROUND((D24*20%),2)+D24),2)</f>
        <v>679799.95</v>
      </c>
      <c r="F24" s="6"/>
      <c r="G24" s="81"/>
      <c r="H24" s="81"/>
      <c r="I24" s="81"/>
      <c r="J24" s="81"/>
    </row>
    <row r="25" spans="1:11" s="4" customFormat="1" ht="40.15" customHeight="1" thickBot="1" x14ac:dyDescent="0.25">
      <c r="A25" s="37" t="s">
        <v>14</v>
      </c>
      <c r="B25" s="71">
        <v>122.616</v>
      </c>
      <c r="C25" s="72">
        <v>9623.8468099999991</v>
      </c>
      <c r="D25" s="38">
        <f>B25*C25</f>
        <v>1180037.6004549598</v>
      </c>
      <c r="E25" s="39">
        <f>ROUND((ROUND((D25*20%),2)+D25),2)</f>
        <v>1416045.12</v>
      </c>
      <c r="F25" s="6"/>
      <c r="G25" s="70"/>
      <c r="H25" s="70"/>
      <c r="I25" s="70"/>
      <c r="J25" s="70"/>
      <c r="K25" s="70"/>
    </row>
    <row r="26" spans="1:11" s="8" customFormat="1" ht="40.15" customHeight="1" x14ac:dyDescent="0.2">
      <c r="A26" s="15" t="s">
        <v>3</v>
      </c>
      <c r="B26" s="63">
        <f>SUM(B28:B30)</f>
        <v>346.45600000000002</v>
      </c>
      <c r="C26" s="64">
        <f>IF(ISERROR(D26/B26),0,D26/B26)</f>
        <v>11877.209574045752</v>
      </c>
      <c r="D26" s="16">
        <f t="shared" ref="D26:E26" si="3">SUM(D28:D30)</f>
        <v>4114930.5201855949</v>
      </c>
      <c r="E26" s="17">
        <f t="shared" si="3"/>
        <v>4937916.63</v>
      </c>
      <c r="G26" s="44"/>
      <c r="H26" s="44"/>
    </row>
    <row r="27" spans="1:11" s="9" customFormat="1" ht="20.25" x14ac:dyDescent="0.2">
      <c r="A27" s="18" t="s">
        <v>5</v>
      </c>
      <c r="B27" s="65"/>
      <c r="C27" s="66"/>
      <c r="D27" s="19"/>
      <c r="E27" s="20"/>
      <c r="F27" s="44"/>
      <c r="G27" s="44"/>
      <c r="H27" s="44"/>
    </row>
    <row r="28" spans="1:11" s="4" customFormat="1" ht="40.15" customHeight="1" x14ac:dyDescent="0.2">
      <c r="A28" s="21" t="s">
        <v>6</v>
      </c>
      <c r="B28" s="57">
        <v>184.3</v>
      </c>
      <c r="C28" s="58">
        <v>13124.011828540401</v>
      </c>
      <c r="D28" s="3">
        <f>B28*C28</f>
        <v>2418755.3799999962</v>
      </c>
      <c r="E28" s="22">
        <f>ROUND((ROUND((D28*20%),2)+D28),2)</f>
        <v>2902506.46</v>
      </c>
      <c r="F28" s="6"/>
      <c r="G28" s="44"/>
    </row>
    <row r="29" spans="1:11" s="4" customFormat="1" ht="40.15" customHeight="1" thickBot="1" x14ac:dyDescent="0.25">
      <c r="A29" s="23" t="s">
        <v>7</v>
      </c>
      <c r="B29" s="59">
        <v>89.9</v>
      </c>
      <c r="C29" s="60">
        <v>12480.0492769744</v>
      </c>
      <c r="D29" s="24">
        <f>B29*C29</f>
        <v>1121956.4299999985</v>
      </c>
      <c r="E29" s="25">
        <f>ROUND((ROUND((D29*20%),2)+D29),2)</f>
        <v>1346347.72</v>
      </c>
      <c r="F29" s="6"/>
      <c r="G29" s="81"/>
    </row>
    <row r="30" spans="1:11" s="4" customFormat="1" ht="40.15" customHeight="1" thickBot="1" x14ac:dyDescent="0.25">
      <c r="A30" s="37" t="s">
        <v>14</v>
      </c>
      <c r="B30" s="73">
        <v>72.256</v>
      </c>
      <c r="C30" s="74">
        <v>7947.0038500000001</v>
      </c>
      <c r="D30" s="40">
        <f>B30*C30</f>
        <v>574218.71018559998</v>
      </c>
      <c r="E30" s="41">
        <f>ROUND((ROUND((D30*20%),2)+D30),2)</f>
        <v>689062.45</v>
      </c>
      <c r="F30" s="6"/>
      <c r="G30" s="70"/>
    </row>
    <row r="31" spans="1:11" s="11" customFormat="1" ht="40.15" customHeight="1" thickBot="1" x14ac:dyDescent="0.35">
      <c r="A31" s="12" t="s">
        <v>1</v>
      </c>
      <c r="B31" s="54">
        <f>B26-B20</f>
        <v>-76.959999999999923</v>
      </c>
      <c r="C31" s="13">
        <f>C26-C20</f>
        <v>5149.9183038647416</v>
      </c>
      <c r="D31" s="13">
        <f>D26-D20</f>
        <v>1266487.7597306329</v>
      </c>
      <c r="E31" s="14">
        <f>E26-E20</f>
        <v>1519785.3199999998</v>
      </c>
      <c r="F31" s="47"/>
      <c r="G31" s="47"/>
    </row>
    <row r="32" spans="1:11" ht="22.5" x14ac:dyDescent="0.2">
      <c r="G32" s="47"/>
    </row>
  </sheetData>
  <mergeCells count="2">
    <mergeCell ref="A1:E1"/>
    <mergeCell ref="A17:E17"/>
  </mergeCells>
  <printOptions horizontalCentered="1"/>
  <pageMargins left="0.19685039370078741" right="0.19685039370078741" top="0.39370078740157483" bottom="0.19685039370078741" header="0" footer="0"/>
  <pageSetup paperSize="9" scale="95" fitToHeight="2" orientation="landscape" r:id="rId1"/>
  <rowBreaks count="1" manualBreakCount="1">
    <brk id="16" max="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742C4-D4FD-4843-AC30-F0C48C89CAF3}">
  <sheetPr>
    <tabColor rgb="FF00B0F0"/>
    <pageSetUpPr fitToPage="1"/>
  </sheetPr>
  <dimension ref="A1:H32"/>
  <sheetViews>
    <sheetView view="pageBreakPreview" zoomScaleNormal="100" zoomScaleSheetLayoutView="100" workbookViewId="0">
      <selection activeCell="E2" sqref="E1:E1048576"/>
    </sheetView>
  </sheetViews>
  <sheetFormatPr defaultColWidth="8.85546875" defaultRowHeight="12.75" outlineLevelRow="1" x14ac:dyDescent="0.2"/>
  <cols>
    <col min="1" max="1" width="45.28515625" style="1" customWidth="1"/>
    <col min="2" max="2" width="14.7109375" style="55" customWidth="1"/>
    <col min="3" max="3" width="22.28515625" style="1" customWidth="1"/>
    <col min="4" max="4" width="22" style="1" customWidth="1"/>
    <col min="5" max="5" width="23.28515625" style="1" customWidth="1"/>
    <col min="6" max="7" width="18.28515625" style="1" bestFit="1" customWidth="1"/>
    <col min="8" max="8" width="15.28515625" style="1" bestFit="1" customWidth="1"/>
    <col min="9" max="16384" width="8.85546875" style="1"/>
  </cols>
  <sheetData>
    <row r="1" spans="1:8" s="29" customFormat="1" ht="105" customHeight="1" x14ac:dyDescent="0.2">
      <c r="A1" s="118" t="s">
        <v>29</v>
      </c>
      <c r="B1" s="118"/>
      <c r="C1" s="118"/>
      <c r="D1" s="118"/>
      <c r="E1" s="118"/>
    </row>
    <row r="2" spans="1:8" ht="13.5" thickBot="1" x14ac:dyDescent="0.25"/>
    <row r="3" spans="1:8" s="2" customFormat="1" ht="59.45" customHeight="1" thickBot="1" x14ac:dyDescent="0.35">
      <c r="A3" s="26" t="s">
        <v>4</v>
      </c>
      <c r="B3" s="56" t="s">
        <v>15</v>
      </c>
      <c r="C3" s="27" t="s">
        <v>0</v>
      </c>
      <c r="D3" s="27" t="s">
        <v>8</v>
      </c>
      <c r="E3" s="28" t="s">
        <v>9</v>
      </c>
    </row>
    <row r="4" spans="1:8" s="8" customFormat="1" ht="40.15" customHeight="1" x14ac:dyDescent="0.2">
      <c r="A4" s="15" t="s">
        <v>2</v>
      </c>
      <c r="B4" s="48">
        <f>SUM(B6:B9)</f>
        <v>329.02499999999998</v>
      </c>
      <c r="C4" s="16">
        <f>IF(ISERROR(D4/B4),0,D4/B4)</f>
        <v>7062.4458009976415</v>
      </c>
      <c r="D4" s="16">
        <f t="shared" ref="D4:E4" si="0">SUM(D6:D9)</f>
        <v>2323721.2296732487</v>
      </c>
      <c r="E4" s="17">
        <f t="shared" si="0"/>
        <v>2788465.48</v>
      </c>
    </row>
    <row r="5" spans="1:8" s="9" customFormat="1" ht="20.25" x14ac:dyDescent="0.2">
      <c r="A5" s="18" t="s">
        <v>5</v>
      </c>
      <c r="B5" s="49"/>
      <c r="C5" s="19"/>
      <c r="D5" s="19"/>
      <c r="E5" s="20"/>
      <c r="F5" s="8"/>
    </row>
    <row r="6" spans="1:8" s="4" customFormat="1" ht="40.15" hidden="1" customHeight="1" outlineLevel="1" x14ac:dyDescent="0.2">
      <c r="A6" s="21" t="s">
        <v>16</v>
      </c>
      <c r="B6" s="50">
        <v>0</v>
      </c>
      <c r="C6" s="3">
        <v>0</v>
      </c>
      <c r="D6" s="3">
        <f>B6*C6</f>
        <v>0</v>
      </c>
      <c r="E6" s="22">
        <f>ROUND((D6*20%),2)+D6</f>
        <v>0</v>
      </c>
      <c r="F6" s="6"/>
    </row>
    <row r="7" spans="1:8" s="4" customFormat="1" ht="40.15" customHeight="1" collapsed="1" x14ac:dyDescent="0.2">
      <c r="A7" s="21" t="s">
        <v>6</v>
      </c>
      <c r="B7" s="57">
        <v>0</v>
      </c>
      <c r="C7" s="58">
        <v>0</v>
      </c>
      <c r="D7" s="3">
        <f>B7*C7</f>
        <v>0</v>
      </c>
      <c r="E7" s="22">
        <f>ROUND((ROUND((D7*20%),2)+D7),2)</f>
        <v>0</v>
      </c>
      <c r="F7" s="6"/>
    </row>
    <row r="8" spans="1:8" s="4" customFormat="1" ht="40.15" customHeight="1" thickBot="1" x14ac:dyDescent="0.25">
      <c r="A8" s="23" t="s">
        <v>7</v>
      </c>
      <c r="B8" s="59">
        <v>245.2</v>
      </c>
      <c r="C8" s="60">
        <v>5619.7252446982002</v>
      </c>
      <c r="D8" s="24">
        <f>B8*C8</f>
        <v>1377956.6299999987</v>
      </c>
      <c r="E8" s="25">
        <f>ROUND((ROUND((D8*20%),2)+D8),2)</f>
        <v>1653547.96</v>
      </c>
      <c r="F8" s="6"/>
    </row>
    <row r="9" spans="1:8" s="4" customFormat="1" ht="40.15" customHeight="1" thickBot="1" x14ac:dyDescent="0.25">
      <c r="A9" s="37" t="s">
        <v>14</v>
      </c>
      <c r="B9" s="71">
        <v>83.825000000000003</v>
      </c>
      <c r="C9" s="72">
        <v>11282.60781</v>
      </c>
      <c r="D9" s="38">
        <f>B9*C9</f>
        <v>945764.59967324999</v>
      </c>
      <c r="E9" s="39">
        <f>ROUND((ROUND((D9*20%),2)+D9),2)</f>
        <v>1134917.52</v>
      </c>
      <c r="F9" s="6"/>
      <c r="G9" s="70"/>
      <c r="H9" s="70"/>
    </row>
    <row r="10" spans="1:8" s="8" customFormat="1" ht="40.15" customHeight="1" x14ac:dyDescent="0.2">
      <c r="A10" s="15" t="s">
        <v>3</v>
      </c>
      <c r="B10" s="63">
        <f>SUM(B12:B14)</f>
        <v>281.49</v>
      </c>
      <c r="C10" s="64">
        <f>IF(ISERROR(D10/B10),0,D10/B10)</f>
        <v>13229.903016364728</v>
      </c>
      <c r="D10" s="16">
        <f t="shared" ref="D10:E10" si="1">SUM(D12:D14)</f>
        <v>3724085.4000765071</v>
      </c>
      <c r="E10" s="17">
        <f t="shared" si="1"/>
        <v>4468902.4800000004</v>
      </c>
      <c r="G10" s="44"/>
      <c r="H10" s="44"/>
    </row>
    <row r="11" spans="1:8" s="9" customFormat="1" ht="20.25" x14ac:dyDescent="0.2">
      <c r="A11" s="18" t="s">
        <v>5</v>
      </c>
      <c r="B11" s="65"/>
      <c r="C11" s="66"/>
      <c r="D11" s="19"/>
      <c r="E11" s="20"/>
      <c r="F11" s="44"/>
      <c r="G11" s="44"/>
      <c r="H11" s="44"/>
    </row>
    <row r="12" spans="1:8" s="4" customFormat="1" ht="40.15" customHeight="1" x14ac:dyDescent="0.2">
      <c r="A12" s="21" t="s">
        <v>6</v>
      </c>
      <c r="B12" s="57">
        <v>5</v>
      </c>
      <c r="C12" s="58">
        <v>14934.11</v>
      </c>
      <c r="D12" s="3">
        <f>B12*C12</f>
        <v>74670.55</v>
      </c>
      <c r="E12" s="22">
        <f>ROUND((ROUND((D12*20%),2)+D12),2)</f>
        <v>89604.66</v>
      </c>
      <c r="F12" s="6"/>
      <c r="G12" s="44"/>
    </row>
    <row r="13" spans="1:8" s="4" customFormat="1" ht="40.15" customHeight="1" thickBot="1" x14ac:dyDescent="0.25">
      <c r="A13" s="23" t="s">
        <v>7</v>
      </c>
      <c r="B13" s="59">
        <v>230.9</v>
      </c>
      <c r="C13" s="60">
        <v>13985.984019055901</v>
      </c>
      <c r="D13" s="24">
        <f>B13*C13</f>
        <v>3229363.7100000074</v>
      </c>
      <c r="E13" s="25">
        <f>ROUND((ROUND((D13*20%),2)+D13),2)</f>
        <v>3875236.45</v>
      </c>
      <c r="F13" s="6"/>
    </row>
    <row r="14" spans="1:8" s="4" customFormat="1" ht="40.15" customHeight="1" thickBot="1" x14ac:dyDescent="0.25">
      <c r="A14" s="37" t="s">
        <v>14</v>
      </c>
      <c r="B14" s="73">
        <v>45.59</v>
      </c>
      <c r="C14" s="74">
        <v>9213.6683499999999</v>
      </c>
      <c r="D14" s="40">
        <f>B14*C14</f>
        <v>420051.14007650001</v>
      </c>
      <c r="E14" s="41">
        <f>ROUND((ROUND((D14*20%),2)+D14),2)</f>
        <v>504061.37</v>
      </c>
      <c r="F14" s="47"/>
      <c r="G14" s="47"/>
    </row>
    <row r="15" spans="1:8" s="11" customFormat="1" ht="40.15" customHeight="1" thickBot="1" x14ac:dyDescent="0.35">
      <c r="A15" s="12" t="s">
        <v>1</v>
      </c>
      <c r="B15" s="54">
        <f>B10-B4</f>
        <v>-47.534999999999968</v>
      </c>
      <c r="C15" s="13">
        <f>C10-C4</f>
        <v>6167.4572153670861</v>
      </c>
      <c r="D15" s="13">
        <f>D10-D4</f>
        <v>1400364.1704032584</v>
      </c>
      <c r="E15" s="14">
        <f>E10-E4</f>
        <v>1680437.0000000005</v>
      </c>
    </row>
    <row r="17" spans="1:8" s="29" customFormat="1" ht="105" customHeight="1" x14ac:dyDescent="0.2">
      <c r="A17" s="118" t="s">
        <v>30</v>
      </c>
      <c r="B17" s="118"/>
      <c r="C17" s="118"/>
      <c r="D17" s="118"/>
      <c r="E17" s="118"/>
    </row>
    <row r="18" spans="1:8" ht="13.5" thickBot="1" x14ac:dyDescent="0.25"/>
    <row r="19" spans="1:8" s="2" customFormat="1" ht="59.45" customHeight="1" thickBot="1" x14ac:dyDescent="0.35">
      <c r="A19" s="26" t="s">
        <v>4</v>
      </c>
      <c r="B19" s="56" t="s">
        <v>15</v>
      </c>
      <c r="C19" s="27" t="s">
        <v>0</v>
      </c>
      <c r="D19" s="27" t="s">
        <v>8</v>
      </c>
      <c r="E19" s="28" t="s">
        <v>9</v>
      </c>
    </row>
    <row r="20" spans="1:8" s="8" customFormat="1" ht="40.15" customHeight="1" x14ac:dyDescent="0.2">
      <c r="A20" s="15" t="s">
        <v>2</v>
      </c>
      <c r="B20" s="48">
        <f>SUM(B22:B25)</f>
        <v>422.79600000000005</v>
      </c>
      <c r="C20" s="16">
        <f>IF(ISERROR(D20/B20),0,D20/B20)</f>
        <v>6981.6524511134494</v>
      </c>
      <c r="D20" s="16">
        <f t="shared" ref="D20:E20" si="2">SUM(D22:D25)</f>
        <v>2951814.7297209622</v>
      </c>
      <c r="E20" s="17">
        <f t="shared" si="2"/>
        <v>3542177.67</v>
      </c>
    </row>
    <row r="21" spans="1:8" s="9" customFormat="1" ht="20.25" x14ac:dyDescent="0.2">
      <c r="A21" s="18" t="s">
        <v>5</v>
      </c>
      <c r="B21" s="49"/>
      <c r="C21" s="19"/>
      <c r="D21" s="19"/>
      <c r="E21" s="20"/>
      <c r="F21" s="8"/>
    </row>
    <row r="22" spans="1:8" s="4" customFormat="1" ht="40.15" hidden="1" customHeight="1" outlineLevel="1" x14ac:dyDescent="0.2">
      <c r="A22" s="21" t="s">
        <v>16</v>
      </c>
      <c r="B22" s="50">
        <v>0</v>
      </c>
      <c r="C22" s="3">
        <v>0</v>
      </c>
      <c r="D22" s="3">
        <f>B22*C22</f>
        <v>0</v>
      </c>
      <c r="E22" s="22">
        <f>ROUND((D22*20%),2)+D22</f>
        <v>0</v>
      </c>
      <c r="F22" s="6"/>
    </row>
    <row r="23" spans="1:8" s="4" customFormat="1" ht="40.15" customHeight="1" collapsed="1" x14ac:dyDescent="0.2">
      <c r="A23" s="21" t="s">
        <v>6</v>
      </c>
      <c r="B23" s="57">
        <v>0</v>
      </c>
      <c r="C23" s="58">
        <v>0</v>
      </c>
      <c r="D23" s="3">
        <f>B23*C23</f>
        <v>0</v>
      </c>
      <c r="E23" s="22">
        <f>ROUND((ROUND((D23*20%),2)+D23),2)</f>
        <v>0</v>
      </c>
      <c r="F23" s="6"/>
    </row>
    <row r="24" spans="1:8" s="4" customFormat="1" ht="40.15" customHeight="1" thickBot="1" x14ac:dyDescent="0.25">
      <c r="A24" s="23" t="s">
        <v>7</v>
      </c>
      <c r="B24" s="59">
        <v>321.10000000000002</v>
      </c>
      <c r="C24" s="60">
        <v>5631.7309872313999</v>
      </c>
      <c r="D24" s="24">
        <f>B24*C24</f>
        <v>1808348.8200000026</v>
      </c>
      <c r="E24" s="25">
        <f>ROUND((ROUND((D24*20%),2)+D24),2)</f>
        <v>2170018.58</v>
      </c>
      <c r="F24" s="6"/>
    </row>
    <row r="25" spans="1:8" s="4" customFormat="1" ht="40.15" customHeight="1" thickBot="1" x14ac:dyDescent="0.25">
      <c r="A25" s="37" t="s">
        <v>14</v>
      </c>
      <c r="B25" s="71">
        <v>101.696</v>
      </c>
      <c r="C25" s="72">
        <v>11243.961509999999</v>
      </c>
      <c r="D25" s="38">
        <f>B25*C25</f>
        <v>1143465.9097209598</v>
      </c>
      <c r="E25" s="39">
        <f>ROUND((ROUND((D25*20%),2)+D25),2)</f>
        <v>1372159.09</v>
      </c>
      <c r="F25" s="6"/>
      <c r="G25" s="70"/>
      <c r="H25" s="70"/>
    </row>
    <row r="26" spans="1:8" s="8" customFormat="1" ht="40.15" customHeight="1" x14ac:dyDescent="0.2">
      <c r="A26" s="15" t="s">
        <v>3</v>
      </c>
      <c r="B26" s="63">
        <f>SUM(B28:B30)</f>
        <v>362.12399999999997</v>
      </c>
      <c r="C26" s="64">
        <f>IF(ISERROR(D26/B26),0,D26/B26)</f>
        <v>13247.665163941338</v>
      </c>
      <c r="D26" s="16">
        <f t="shared" ref="D26:E26" si="3">SUM(D28:D30)</f>
        <v>4797297.4998270925</v>
      </c>
      <c r="E26" s="17">
        <f t="shared" si="3"/>
        <v>5756757</v>
      </c>
      <c r="G26" s="44"/>
      <c r="H26" s="44"/>
    </row>
    <row r="27" spans="1:8" s="9" customFormat="1" ht="20.25" x14ac:dyDescent="0.2">
      <c r="A27" s="18" t="s">
        <v>5</v>
      </c>
      <c r="B27" s="65"/>
      <c r="C27" s="66"/>
      <c r="D27" s="19"/>
      <c r="E27" s="20"/>
      <c r="F27" s="44"/>
      <c r="G27" s="44"/>
      <c r="H27" s="44"/>
    </row>
    <row r="28" spans="1:8" s="4" customFormat="1" ht="40.15" customHeight="1" x14ac:dyDescent="0.2">
      <c r="A28" s="21" t="s">
        <v>6</v>
      </c>
      <c r="B28" s="57">
        <v>7.4</v>
      </c>
      <c r="C28" s="58">
        <v>14910.9608108108</v>
      </c>
      <c r="D28" s="3">
        <f>B28*C28</f>
        <v>110341.10999999993</v>
      </c>
      <c r="E28" s="22">
        <f>ROUND((ROUND((D28*20%),2)+D28),2)</f>
        <v>132409.32999999999</v>
      </c>
      <c r="F28" s="6"/>
      <c r="G28" s="44"/>
    </row>
    <row r="29" spans="1:8" s="4" customFormat="1" ht="40.15" customHeight="1" thickBot="1" x14ac:dyDescent="0.25">
      <c r="A29" s="23" t="s">
        <v>7</v>
      </c>
      <c r="B29" s="59">
        <v>301.2</v>
      </c>
      <c r="C29" s="60">
        <v>13886.6626162019</v>
      </c>
      <c r="D29" s="24">
        <f>B29*C29</f>
        <v>4182662.7800000124</v>
      </c>
      <c r="E29" s="25">
        <f>ROUND((ROUND((D29*20%),2)+D29),2)</f>
        <v>5019195.34</v>
      </c>
      <c r="F29" s="6"/>
    </row>
    <row r="30" spans="1:8" s="4" customFormat="1" ht="40.15" customHeight="1" thickBot="1" x14ac:dyDescent="0.25">
      <c r="A30" s="37" t="s">
        <v>14</v>
      </c>
      <c r="B30" s="73">
        <v>53.524000000000001</v>
      </c>
      <c r="C30" s="74">
        <v>9421.8221699999995</v>
      </c>
      <c r="D30" s="40">
        <f>B30*C30</f>
        <v>504293.60982707998</v>
      </c>
      <c r="E30" s="41">
        <f>ROUND((ROUND((D30*20%),2)+D30),2)</f>
        <v>605152.32999999996</v>
      </c>
      <c r="F30" s="6"/>
    </row>
    <row r="31" spans="1:8" s="11" customFormat="1" ht="40.15" customHeight="1" thickBot="1" x14ac:dyDescent="0.35">
      <c r="A31" s="12" t="s">
        <v>1</v>
      </c>
      <c r="B31" s="54">
        <f>B26-B20</f>
        <v>-60.672000000000082</v>
      </c>
      <c r="C31" s="13">
        <f>C26-C20</f>
        <v>6266.0127128278882</v>
      </c>
      <c r="D31" s="13">
        <f>D26-D20</f>
        <v>1845482.7701061303</v>
      </c>
      <c r="E31" s="14">
        <f>E26-E20</f>
        <v>2214579.33</v>
      </c>
      <c r="F31" s="47"/>
      <c r="G31" s="47"/>
    </row>
    <row r="32" spans="1:8" ht="22.5" x14ac:dyDescent="0.2">
      <c r="G32" s="47"/>
    </row>
  </sheetData>
  <mergeCells count="2">
    <mergeCell ref="A1:E1"/>
    <mergeCell ref="A17:E17"/>
  </mergeCells>
  <printOptions horizontalCentered="1"/>
  <pageMargins left="0.19685039370078741" right="0.19685039370078741" top="0.39370078740157483" bottom="0.19685039370078741" header="0" footer="0"/>
  <pageSetup paperSize="9" scale="95" fitToHeight="2" orientation="landscape" r:id="rId1"/>
  <rowBreaks count="1" manualBreakCount="1">
    <brk id="16" max="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65C24-80B1-43E6-96B6-8EB538FB48E9}">
  <sheetPr>
    <tabColor theme="4" tint="-0.499984740745262"/>
    <pageSetUpPr fitToPage="1"/>
  </sheetPr>
  <dimension ref="A1:J36"/>
  <sheetViews>
    <sheetView view="pageBreakPreview" zoomScaleNormal="100" zoomScaleSheetLayoutView="100" workbookViewId="0">
      <selection activeCell="E2" sqref="E1:E1048576"/>
    </sheetView>
  </sheetViews>
  <sheetFormatPr defaultColWidth="8.85546875" defaultRowHeight="12.75" outlineLevelRow="1" outlineLevelCol="1" x14ac:dyDescent="0.2"/>
  <cols>
    <col min="1" max="1" width="45.28515625" style="1" customWidth="1"/>
    <col min="2" max="2" width="14.7109375" style="55" customWidth="1"/>
    <col min="3" max="3" width="22.28515625" style="1" customWidth="1"/>
    <col min="4" max="4" width="22" style="1" customWidth="1"/>
    <col min="5" max="5" width="23.28515625" style="1" customWidth="1"/>
    <col min="6" max="6" width="18.28515625" style="1" bestFit="1" customWidth="1"/>
    <col min="7" max="7" width="18.28515625" style="1" hidden="1" customWidth="1" outlineLevel="1"/>
    <col min="8" max="8" width="15.28515625" style="1" hidden="1" customWidth="1" outlineLevel="1"/>
    <col min="9" max="9" width="8.85546875" style="1" collapsed="1"/>
    <col min="10" max="10" width="10.42578125" style="1" bestFit="1" customWidth="1"/>
    <col min="11" max="16384" width="8.85546875" style="1"/>
  </cols>
  <sheetData>
    <row r="1" spans="1:8" s="29" customFormat="1" ht="105" customHeight="1" x14ac:dyDescent="0.2">
      <c r="A1" s="118" t="s">
        <v>31</v>
      </c>
      <c r="B1" s="118"/>
      <c r="C1" s="118"/>
      <c r="D1" s="118"/>
      <c r="E1" s="118"/>
    </row>
    <row r="2" spans="1:8" ht="13.5" thickBot="1" x14ac:dyDescent="0.25"/>
    <row r="3" spans="1:8" s="2" customFormat="1" ht="59.45" customHeight="1" thickBot="1" x14ac:dyDescent="0.35">
      <c r="A3" s="26" t="s">
        <v>4</v>
      </c>
      <c r="B3" s="56" t="s">
        <v>15</v>
      </c>
      <c r="C3" s="27" t="s">
        <v>33</v>
      </c>
      <c r="D3" s="27" t="s">
        <v>8</v>
      </c>
      <c r="E3" s="28" t="s">
        <v>9</v>
      </c>
      <c r="G3" s="100" t="s">
        <v>38</v>
      </c>
    </row>
    <row r="4" spans="1:8" s="8" customFormat="1" ht="40.15" customHeight="1" x14ac:dyDescent="0.2">
      <c r="A4" s="15" t="s">
        <v>2</v>
      </c>
      <c r="B4" s="48">
        <f>SUM(B6:B10)</f>
        <v>440.15833399999997</v>
      </c>
      <c r="C4" s="16">
        <f>IF(ISERROR(D4/B4),0,D4/B4)</f>
        <v>3742.9309462086894</v>
      </c>
      <c r="D4" s="16">
        <f t="shared" ref="D4:E4" si="0">SUM(D6:D10)</f>
        <v>1647482.2495602602</v>
      </c>
      <c r="E4" s="17">
        <f t="shared" si="0"/>
        <v>1976978.7</v>
      </c>
      <c r="G4" s="48">
        <f>SUM(G6:G10)</f>
        <v>441.05833399999995</v>
      </c>
    </row>
    <row r="5" spans="1:8" s="9" customFormat="1" ht="20.25" x14ac:dyDescent="0.2">
      <c r="A5" s="18" t="s">
        <v>5</v>
      </c>
      <c r="B5" s="49"/>
      <c r="C5" s="19"/>
      <c r="D5" s="19"/>
      <c r="E5" s="20"/>
      <c r="F5" s="8"/>
      <c r="G5" s="44"/>
    </row>
    <row r="6" spans="1:8" s="4" customFormat="1" ht="40.15" hidden="1" customHeight="1" outlineLevel="1" x14ac:dyDescent="0.2">
      <c r="A6" s="21" t="s">
        <v>16</v>
      </c>
      <c r="B6" s="50">
        <v>0</v>
      </c>
      <c r="C6" s="3">
        <v>0</v>
      </c>
      <c r="D6" s="3">
        <f>B6*C6</f>
        <v>0</v>
      </c>
      <c r="E6" s="22">
        <f>ROUND((D6*20%),2)+D6</f>
        <v>0</v>
      </c>
      <c r="F6" s="6"/>
      <c r="G6" s="44"/>
    </row>
    <row r="7" spans="1:8" s="4" customFormat="1" ht="40.15" customHeight="1" collapsed="1" x14ac:dyDescent="0.2">
      <c r="A7" s="21" t="s">
        <v>6</v>
      </c>
      <c r="B7" s="57">
        <v>13.8</v>
      </c>
      <c r="C7" s="58">
        <v>1225</v>
      </c>
      <c r="D7" s="3">
        <f>B7*C7</f>
        <v>16905</v>
      </c>
      <c r="E7" s="22">
        <f>ROUND((ROUND((D7*20%),2)+D7),2)</f>
        <v>20286</v>
      </c>
      <c r="F7" s="6"/>
      <c r="G7" s="44">
        <f>B7</f>
        <v>13.8</v>
      </c>
      <c r="H7" s="46"/>
    </row>
    <row r="8" spans="1:8" s="4" customFormat="1" ht="40.15" customHeight="1" x14ac:dyDescent="0.2">
      <c r="A8" s="21" t="s">
        <v>7</v>
      </c>
      <c r="B8" s="57">
        <v>261.39999999999998</v>
      </c>
      <c r="C8" s="58">
        <v>3445.0166029073998</v>
      </c>
      <c r="D8" s="3">
        <f>B8*C8</f>
        <v>900527.33999999426</v>
      </c>
      <c r="E8" s="22">
        <f>ROUND((ROUND((D8*20%),2)+D8),2)</f>
        <v>1080632.81</v>
      </c>
      <c r="F8" s="6"/>
      <c r="G8" s="44">
        <f>B8</f>
        <v>261.39999999999998</v>
      </c>
      <c r="H8" s="46"/>
    </row>
    <row r="9" spans="1:8" s="4" customFormat="1" ht="40.15" customHeight="1" x14ac:dyDescent="0.2">
      <c r="A9" s="21" t="s">
        <v>36</v>
      </c>
      <c r="B9" s="57">
        <v>70.833335000000005</v>
      </c>
      <c r="C9" s="58">
        <v>0.24903528829999999</v>
      </c>
      <c r="D9" s="3">
        <f>B9*C9</f>
        <v>17.64000000297548</v>
      </c>
      <c r="E9" s="22">
        <f>ROUND((ROUND((D9*20%),2)+D9),2)</f>
        <v>21.17</v>
      </c>
      <c r="F9" s="6"/>
      <c r="G9" s="44">
        <f>B9</f>
        <v>70.833335000000005</v>
      </c>
      <c r="H9" s="46"/>
    </row>
    <row r="10" spans="1:8" s="4" customFormat="1" ht="40.15" customHeight="1" thickBot="1" x14ac:dyDescent="0.25">
      <c r="A10" s="23" t="s">
        <v>14</v>
      </c>
      <c r="B10" s="99">
        <v>94.124999000000003</v>
      </c>
      <c r="C10" s="101">
        <v>7755.9870099999998</v>
      </c>
      <c r="D10" s="24">
        <f>B10*C10</f>
        <v>730032.26956026303</v>
      </c>
      <c r="E10" s="25">
        <f>ROUND((ROUND((D10*20%),2)+D10),2)</f>
        <v>876038.72</v>
      </c>
      <c r="F10" s="6"/>
      <c r="G10" s="44">
        <v>95.024998999999994</v>
      </c>
      <c r="H10" s="98">
        <f>B10-G10</f>
        <v>-0.89999999999999147</v>
      </c>
    </row>
    <row r="11" spans="1:8" s="8" customFormat="1" ht="40.15" customHeight="1" x14ac:dyDescent="0.2">
      <c r="A11" s="15" t="s">
        <v>3</v>
      </c>
      <c r="B11" s="63">
        <f>SUM(B13:B16)</f>
        <v>371.72833399999996</v>
      </c>
      <c r="C11" s="64">
        <f>IF(ISERROR(D11/B11),0,D11/B11)</f>
        <v>11043.306588052998</v>
      </c>
      <c r="D11" s="16">
        <f t="shared" ref="D11:E11" si="1">SUM(D13:D16)</f>
        <v>4105109.9598281649</v>
      </c>
      <c r="E11" s="17">
        <f t="shared" si="1"/>
        <v>4926131.95</v>
      </c>
      <c r="G11" s="63">
        <f>SUM(G13:G16)</f>
        <v>372.628334</v>
      </c>
      <c r="H11" s="44"/>
    </row>
    <row r="12" spans="1:8" s="9" customFormat="1" ht="20.25" x14ac:dyDescent="0.2">
      <c r="A12" s="18" t="s">
        <v>5</v>
      </c>
      <c r="B12" s="65"/>
      <c r="C12" s="66"/>
      <c r="D12" s="19"/>
      <c r="E12" s="20"/>
      <c r="F12" s="44"/>
      <c r="G12" s="44"/>
      <c r="H12" s="44"/>
    </row>
    <row r="13" spans="1:8" s="4" customFormat="1" ht="40.15" customHeight="1" x14ac:dyDescent="0.2">
      <c r="A13" s="21" t="s">
        <v>6</v>
      </c>
      <c r="B13" s="57">
        <v>137.89999999999998</v>
      </c>
      <c r="C13" s="58">
        <v>14062.763524292999</v>
      </c>
      <c r="D13" s="3">
        <f>B13*C13</f>
        <v>1939255.0900000043</v>
      </c>
      <c r="E13" s="22">
        <f>ROUND((ROUND((D13*20%),2)+D13),2)</f>
        <v>2327106.11</v>
      </c>
      <c r="F13" s="6"/>
      <c r="G13" s="44">
        <f>B13</f>
        <v>137.89999999999998</v>
      </c>
      <c r="H13" s="46"/>
    </row>
    <row r="14" spans="1:8" s="4" customFormat="1" ht="40.15" customHeight="1" x14ac:dyDescent="0.2">
      <c r="A14" s="21" t="s">
        <v>7</v>
      </c>
      <c r="B14" s="57">
        <v>175.2</v>
      </c>
      <c r="C14" s="58">
        <v>10898.758847032001</v>
      </c>
      <c r="D14" s="3">
        <f>B14*C14</f>
        <v>1909462.5500000063</v>
      </c>
      <c r="E14" s="22">
        <f>ROUND((ROUND((D14*20%),2)+D14),2)</f>
        <v>2291355.06</v>
      </c>
      <c r="F14" s="6"/>
      <c r="G14" s="44">
        <f>B14</f>
        <v>175.2</v>
      </c>
      <c r="H14" s="46"/>
    </row>
    <row r="15" spans="1:8" s="4" customFormat="1" ht="40.15" hidden="1" customHeight="1" outlineLevel="1" x14ac:dyDescent="0.2">
      <c r="A15" s="21" t="s">
        <v>37</v>
      </c>
      <c r="B15" s="57">
        <v>0</v>
      </c>
      <c r="C15" s="58">
        <v>0</v>
      </c>
      <c r="D15" s="3">
        <f>B15*C15</f>
        <v>0</v>
      </c>
      <c r="E15" s="22">
        <f>ROUND((ROUND((D15*20%),2)+D15),2)</f>
        <v>0</v>
      </c>
      <c r="F15" s="6"/>
      <c r="G15" s="44"/>
      <c r="H15" s="46"/>
    </row>
    <row r="16" spans="1:8" s="4" customFormat="1" ht="40.15" customHeight="1" collapsed="1" thickBot="1" x14ac:dyDescent="0.25">
      <c r="A16" s="23" t="s">
        <v>14</v>
      </c>
      <c r="B16" s="99">
        <v>58.628334000000002</v>
      </c>
      <c r="C16" s="101">
        <v>4373.1810599999999</v>
      </c>
      <c r="D16" s="24">
        <f>B16*C16</f>
        <v>256392.31982815405</v>
      </c>
      <c r="E16" s="25">
        <f>ROUND((ROUND((D16*20%),2)+D16),2)</f>
        <v>307670.78000000003</v>
      </c>
      <c r="F16" s="47"/>
      <c r="G16" s="44">
        <v>59.528334000000001</v>
      </c>
      <c r="H16" s="98">
        <f>B16-G16</f>
        <v>-0.89999999999999858</v>
      </c>
    </row>
    <row r="17" spans="1:10" s="11" customFormat="1" ht="40.15" customHeight="1" thickBot="1" x14ac:dyDescent="0.35">
      <c r="A17" s="12" t="s">
        <v>1</v>
      </c>
      <c r="B17" s="54">
        <f>B11-B4</f>
        <v>-68.430000000000007</v>
      </c>
      <c r="C17" s="13">
        <f>C11-C4</f>
        <v>7300.3756418443081</v>
      </c>
      <c r="D17" s="13">
        <f>D11-D4</f>
        <v>2457627.7102679047</v>
      </c>
      <c r="E17" s="14">
        <f>E11-E4</f>
        <v>2949153.25</v>
      </c>
      <c r="G17" s="54">
        <f>G11-G4</f>
        <v>-68.42999999999995</v>
      </c>
      <c r="J17" s="80"/>
    </row>
    <row r="18" spans="1:10" x14ac:dyDescent="0.2">
      <c r="G18" s="55"/>
    </row>
    <row r="19" spans="1:10" s="29" customFormat="1" ht="105" customHeight="1" x14ac:dyDescent="0.2">
      <c r="A19" s="118" t="s">
        <v>32</v>
      </c>
      <c r="B19" s="118"/>
      <c r="C19" s="118"/>
      <c r="D19" s="118"/>
      <c r="E19" s="118"/>
    </row>
    <row r="20" spans="1:10" ht="13.5" thickBot="1" x14ac:dyDescent="0.25"/>
    <row r="21" spans="1:10" s="2" customFormat="1" ht="59.45" customHeight="1" thickBot="1" x14ac:dyDescent="0.35">
      <c r="A21" s="26" t="s">
        <v>4</v>
      </c>
      <c r="B21" s="56" t="s">
        <v>15</v>
      </c>
      <c r="C21" s="27" t="s">
        <v>33</v>
      </c>
      <c r="D21" s="27" t="s">
        <v>8</v>
      </c>
      <c r="E21" s="28" t="s">
        <v>9</v>
      </c>
    </row>
    <row r="22" spans="1:10" s="8" customFormat="1" ht="40.15" customHeight="1" x14ac:dyDescent="0.2">
      <c r="A22" s="15" t="s">
        <v>2</v>
      </c>
      <c r="B22" s="48">
        <f>SUM(B24:B28)</f>
        <v>560.28466700000001</v>
      </c>
      <c r="C22" s="16">
        <f>IF(ISERROR(D22/B22),0,D22/B22)</f>
        <v>3708.6223172830169</v>
      </c>
      <c r="D22" s="16">
        <f t="shared" ref="D22:E22" si="2">SUM(D24:D28)</f>
        <v>2077884.2200676836</v>
      </c>
      <c r="E22" s="17">
        <f t="shared" si="2"/>
        <v>2493461.06</v>
      </c>
      <c r="G22" s="48">
        <f>SUM(G24:G28)</f>
        <v>562.14866700000005</v>
      </c>
    </row>
    <row r="23" spans="1:10" s="9" customFormat="1" ht="20.25" x14ac:dyDescent="0.2">
      <c r="A23" s="18" t="s">
        <v>5</v>
      </c>
      <c r="B23" s="49"/>
      <c r="C23" s="19"/>
      <c r="D23" s="19"/>
      <c r="E23" s="20"/>
      <c r="F23" s="8"/>
      <c r="G23" s="44"/>
    </row>
    <row r="24" spans="1:10" s="4" customFormat="1" ht="40.15" hidden="1" customHeight="1" outlineLevel="1" x14ac:dyDescent="0.2">
      <c r="A24" s="21" t="s">
        <v>16</v>
      </c>
      <c r="B24" s="50">
        <v>0</v>
      </c>
      <c r="C24" s="3">
        <v>0</v>
      </c>
      <c r="D24" s="3">
        <f>B24*C24</f>
        <v>0</v>
      </c>
      <c r="E24" s="22">
        <f>ROUND((D24*20%),2)+D24</f>
        <v>0</v>
      </c>
      <c r="F24" s="6"/>
      <c r="G24" s="44"/>
    </row>
    <row r="25" spans="1:10" s="4" customFormat="1" ht="40.15" customHeight="1" collapsed="1" x14ac:dyDescent="0.2">
      <c r="A25" s="21" t="s">
        <v>6</v>
      </c>
      <c r="B25" s="57">
        <v>19.8</v>
      </c>
      <c r="C25" s="58">
        <v>1200</v>
      </c>
      <c r="D25" s="3">
        <f>B25*C25</f>
        <v>23760</v>
      </c>
      <c r="E25" s="22">
        <f>ROUND((ROUND((D25*20%),2)+D25),2)</f>
        <v>28512</v>
      </c>
      <c r="F25" s="6"/>
      <c r="G25" s="44">
        <f>B25</f>
        <v>19.8</v>
      </c>
      <c r="H25" s="46"/>
    </row>
    <row r="26" spans="1:10" s="4" customFormat="1" ht="40.15" customHeight="1" x14ac:dyDescent="0.2">
      <c r="A26" s="21" t="s">
        <v>7</v>
      </c>
      <c r="B26" s="57">
        <v>341.1</v>
      </c>
      <c r="C26" s="58">
        <v>3426.4676634418001</v>
      </c>
      <c r="D26" s="3">
        <f>B26*C26</f>
        <v>1168768.119999998</v>
      </c>
      <c r="E26" s="22">
        <f>ROUND((ROUND((D26*20%),2)+D26),2)</f>
        <v>1402521.74</v>
      </c>
      <c r="F26" s="6"/>
      <c r="G26" s="44">
        <f>B26</f>
        <v>341.1</v>
      </c>
      <c r="H26" s="46"/>
    </row>
    <row r="27" spans="1:10" s="4" customFormat="1" ht="40.15" customHeight="1" x14ac:dyDescent="0.2">
      <c r="A27" s="21" t="s">
        <v>36</v>
      </c>
      <c r="B27" s="57">
        <v>80.850001000000006</v>
      </c>
      <c r="C27" s="58">
        <v>0.99468149669999995</v>
      </c>
      <c r="D27" s="3">
        <f>B27*C27</f>
        <v>80.420000002876492</v>
      </c>
      <c r="E27" s="22">
        <f>ROUND((ROUND((D27*20%),2)+D27),2)</f>
        <v>96.5</v>
      </c>
      <c r="F27" s="6"/>
      <c r="G27" s="44">
        <f>B27</f>
        <v>80.850001000000006</v>
      </c>
      <c r="H27" s="46"/>
    </row>
    <row r="28" spans="1:10" s="4" customFormat="1" ht="40.15" customHeight="1" thickBot="1" x14ac:dyDescent="0.25">
      <c r="A28" s="23" t="s">
        <v>14</v>
      </c>
      <c r="B28" s="99">
        <v>118.534666</v>
      </c>
      <c r="C28" s="101">
        <v>7468.4960099999998</v>
      </c>
      <c r="D28" s="24">
        <f>B28*C28</f>
        <v>885275.68006768264</v>
      </c>
      <c r="E28" s="25">
        <f>ROUND((ROUND((D28*20%),2)+D28),2)</f>
        <v>1062330.82</v>
      </c>
      <c r="F28" s="6"/>
      <c r="G28" s="44">
        <v>120.39866600000001</v>
      </c>
      <c r="H28" s="98">
        <f>B28-G28</f>
        <v>-1.8640000000000043</v>
      </c>
    </row>
    <row r="29" spans="1:10" s="8" customFormat="1" ht="40.15" customHeight="1" x14ac:dyDescent="0.2">
      <c r="A29" s="15" t="s">
        <v>3</v>
      </c>
      <c r="B29" s="63">
        <f>SUM(B31:B34)</f>
        <v>471.72466700000001</v>
      </c>
      <c r="C29" s="64">
        <f>IF(ISERROR(D29/B29),0,D29/B29)</f>
        <v>11216.653569709189</v>
      </c>
      <c r="D29" s="16">
        <f t="shared" ref="D29:E29" si="3">SUM(D31:D34)</f>
        <v>5291172.1700254288</v>
      </c>
      <c r="E29" s="17">
        <f t="shared" si="3"/>
        <v>6349406.5999999996</v>
      </c>
      <c r="G29" s="63">
        <f>SUM(G31:G34)</f>
        <v>473.58866699999999</v>
      </c>
      <c r="H29" s="44"/>
    </row>
    <row r="30" spans="1:10" s="9" customFormat="1" ht="20.25" x14ac:dyDescent="0.2">
      <c r="A30" s="18" t="s">
        <v>5</v>
      </c>
      <c r="B30" s="65"/>
      <c r="C30" s="66"/>
      <c r="D30" s="19"/>
      <c r="E30" s="20"/>
      <c r="F30" s="44"/>
      <c r="G30" s="44"/>
      <c r="H30" s="44"/>
    </row>
    <row r="31" spans="1:10" s="4" customFormat="1" ht="40.15" customHeight="1" x14ac:dyDescent="0.2">
      <c r="A31" s="21" t="s">
        <v>6</v>
      </c>
      <c r="B31" s="57">
        <v>191.3</v>
      </c>
      <c r="C31" s="58">
        <v>13976.2363826451</v>
      </c>
      <c r="D31" s="3">
        <f>B31*C31</f>
        <v>2673654.0200000079</v>
      </c>
      <c r="E31" s="22">
        <f>ROUND((ROUND((D31*20%),2)+D31),2)</f>
        <v>3208384.82</v>
      </c>
      <c r="F31" s="6"/>
      <c r="G31" s="44">
        <f>B31</f>
        <v>191.3</v>
      </c>
      <c r="H31" s="46"/>
    </row>
    <row r="32" spans="1:10" s="4" customFormat="1" ht="40.15" customHeight="1" x14ac:dyDescent="0.2">
      <c r="A32" s="21" t="s">
        <v>7</v>
      </c>
      <c r="B32" s="57">
        <v>210.7</v>
      </c>
      <c r="C32" s="58">
        <v>10763.0870906502</v>
      </c>
      <c r="D32" s="3">
        <f>B32*C32</f>
        <v>2267782.4499999969</v>
      </c>
      <c r="E32" s="22">
        <f>ROUND((ROUND((D32*20%),2)+D32),2)</f>
        <v>2721338.94</v>
      </c>
      <c r="F32" s="6"/>
      <c r="G32" s="44">
        <f>B32</f>
        <v>210.7</v>
      </c>
      <c r="H32" s="46"/>
    </row>
    <row r="33" spans="1:8" s="4" customFormat="1" ht="40.15" hidden="1" customHeight="1" outlineLevel="1" x14ac:dyDescent="0.2">
      <c r="A33" s="21" t="s">
        <v>37</v>
      </c>
      <c r="B33" s="57">
        <v>0</v>
      </c>
      <c r="C33" s="58">
        <v>0</v>
      </c>
      <c r="D33" s="3">
        <f>B33*C33</f>
        <v>0</v>
      </c>
      <c r="E33" s="22">
        <f>ROUND((ROUND((D33*20%),2)+D33),2)</f>
        <v>0</v>
      </c>
      <c r="F33" s="6"/>
      <c r="G33" s="44"/>
      <c r="H33" s="46"/>
    </row>
    <row r="34" spans="1:8" s="4" customFormat="1" ht="40.15" customHeight="1" collapsed="1" thickBot="1" x14ac:dyDescent="0.25">
      <c r="A34" s="23" t="s">
        <v>14</v>
      </c>
      <c r="B34" s="99">
        <v>69.724666999999997</v>
      </c>
      <c r="C34" s="101">
        <v>5015.9536799999996</v>
      </c>
      <c r="D34" s="24">
        <f>B34*C34</f>
        <v>349735.70002542454</v>
      </c>
      <c r="E34" s="25">
        <f>ROUND((ROUND((D34*20%),2)+D34),2)</f>
        <v>419682.84</v>
      </c>
      <c r="F34" s="6"/>
      <c r="G34" s="44">
        <v>71.588667000000001</v>
      </c>
      <c r="H34" s="98">
        <f>B34-G34</f>
        <v>-1.8640000000000043</v>
      </c>
    </row>
    <row r="35" spans="1:8" s="11" customFormat="1" ht="40.15" customHeight="1" thickBot="1" x14ac:dyDescent="0.35">
      <c r="A35" s="12" t="s">
        <v>1</v>
      </c>
      <c r="B35" s="54">
        <f>B29-B22</f>
        <v>-88.56</v>
      </c>
      <c r="C35" s="13">
        <f>C29-C22</f>
        <v>7508.0312524261726</v>
      </c>
      <c r="D35" s="13">
        <f>D29-D22</f>
        <v>3213287.9499577451</v>
      </c>
      <c r="E35" s="14">
        <f>E29-E22</f>
        <v>3855945.5399999996</v>
      </c>
      <c r="F35" s="47"/>
      <c r="G35" s="54">
        <f>G29-G22</f>
        <v>-88.560000000000059</v>
      </c>
    </row>
    <row r="36" spans="1:8" ht="22.5" x14ac:dyDescent="0.2">
      <c r="G36" s="47"/>
    </row>
  </sheetData>
  <mergeCells count="2">
    <mergeCell ref="A1:E1"/>
    <mergeCell ref="A19:E19"/>
  </mergeCells>
  <printOptions horizontalCentered="1"/>
  <pageMargins left="0.19685039370078741" right="0.19685039370078741" top="0.39370078740157483" bottom="0.19685039370078741" header="0" footer="0"/>
  <pageSetup paperSize="9" scale="89" fitToHeight="2" orientation="landscape" r:id="rId1"/>
  <rowBreaks count="1" manualBreakCount="1">
    <brk id="18" max="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CBB84-194E-4763-886C-B8A7F0BF823D}">
  <sheetPr>
    <tabColor rgb="FF7030A0"/>
    <pageSetUpPr fitToPage="1"/>
  </sheetPr>
  <dimension ref="A1:AD31"/>
  <sheetViews>
    <sheetView view="pageBreakPreview" topLeftCell="V1" zoomScale="85" zoomScaleNormal="100" zoomScaleSheetLayoutView="85" workbookViewId="0">
      <selection activeCell="L2" sqref="L1:L1048576"/>
    </sheetView>
  </sheetViews>
  <sheetFormatPr defaultColWidth="8.85546875" defaultRowHeight="12.75" x14ac:dyDescent="0.2"/>
  <cols>
    <col min="1" max="1" width="45.28515625" style="1" customWidth="1"/>
    <col min="2" max="2" width="14.7109375" style="55" customWidth="1"/>
    <col min="3" max="3" width="22.28515625" style="1" customWidth="1"/>
    <col min="4" max="4" width="22" style="1" customWidth="1"/>
    <col min="5" max="5" width="23.28515625" style="1" customWidth="1"/>
    <col min="6" max="6" width="45.28515625" style="1" customWidth="1"/>
    <col min="7" max="7" width="14.7109375" style="55" customWidth="1"/>
    <col min="8" max="8" width="22.28515625" style="1" customWidth="1"/>
    <col min="9" max="9" width="22" style="1" customWidth="1"/>
    <col min="10" max="10" width="23.28515625" style="1" customWidth="1"/>
    <col min="11" max="11" width="45.28515625" style="1" customWidth="1"/>
    <col min="12" max="12" width="14.7109375" style="55" customWidth="1"/>
    <col min="13" max="13" width="22.28515625" style="1" customWidth="1"/>
    <col min="14" max="14" width="22" style="1" customWidth="1"/>
    <col min="15" max="15" width="23.28515625" style="1" customWidth="1"/>
    <col min="16" max="16" width="45.28515625" style="1" customWidth="1"/>
    <col min="17" max="17" width="14.7109375" style="55" customWidth="1"/>
    <col min="18" max="18" width="22.28515625" style="1" customWidth="1"/>
    <col min="19" max="19" width="22" style="1" customWidth="1"/>
    <col min="20" max="20" width="23.28515625" style="1" customWidth="1"/>
    <col min="21" max="21" width="45.28515625" style="1" customWidth="1"/>
    <col min="22" max="22" width="14.7109375" style="55" customWidth="1"/>
    <col min="23" max="23" width="22.28515625" style="1" customWidth="1"/>
    <col min="24" max="24" width="22" style="1" customWidth="1"/>
    <col min="25" max="25" width="23.28515625" style="1" customWidth="1"/>
    <col min="26" max="26" width="45.28515625" style="1" customWidth="1"/>
    <col min="27" max="27" width="14.7109375" style="55" customWidth="1"/>
    <col min="28" max="28" width="22.28515625" style="1" customWidth="1"/>
    <col min="29" max="29" width="22" style="1" customWidth="1"/>
    <col min="30" max="30" width="23.28515625" style="1" customWidth="1"/>
    <col min="31" max="16384" width="8.85546875" style="1"/>
  </cols>
  <sheetData>
    <row r="1" spans="1:30" s="29" customFormat="1" ht="105" customHeight="1" x14ac:dyDescent="0.2">
      <c r="A1" s="118" t="s">
        <v>19</v>
      </c>
      <c r="B1" s="118"/>
      <c r="C1" s="118"/>
      <c r="D1" s="118"/>
      <c r="E1" s="118"/>
      <c r="F1" s="118" t="s">
        <v>17</v>
      </c>
      <c r="G1" s="118"/>
      <c r="H1" s="118"/>
      <c r="I1" s="118"/>
      <c r="J1" s="118"/>
      <c r="K1" s="118" t="s">
        <v>21</v>
      </c>
      <c r="L1" s="118"/>
      <c r="M1" s="118"/>
      <c r="N1" s="118"/>
      <c r="O1" s="118"/>
      <c r="P1" s="118" t="s">
        <v>23</v>
      </c>
      <c r="Q1" s="118"/>
      <c r="R1" s="118"/>
      <c r="S1" s="118"/>
      <c r="T1" s="118"/>
      <c r="U1" s="118" t="s">
        <v>25</v>
      </c>
      <c r="V1" s="118"/>
      <c r="W1" s="118"/>
      <c r="X1" s="118"/>
      <c r="Y1" s="118"/>
      <c r="Z1" s="118" t="s">
        <v>29</v>
      </c>
      <c r="AA1" s="118"/>
      <c r="AB1" s="118"/>
      <c r="AC1" s="118"/>
      <c r="AD1" s="118"/>
    </row>
    <row r="2" spans="1:30" ht="13.5" thickBot="1" x14ac:dyDescent="0.25"/>
    <row r="3" spans="1:30" s="2" customFormat="1" ht="59.45" customHeight="1" thickBot="1" x14ac:dyDescent="0.35">
      <c r="A3" s="26" t="s">
        <v>4</v>
      </c>
      <c r="B3" s="56" t="s">
        <v>15</v>
      </c>
      <c r="C3" s="27" t="s">
        <v>0</v>
      </c>
      <c r="D3" s="27" t="s">
        <v>8</v>
      </c>
      <c r="E3" s="28" t="s">
        <v>9</v>
      </c>
      <c r="F3" s="26" t="s">
        <v>4</v>
      </c>
      <c r="G3" s="56" t="s">
        <v>15</v>
      </c>
      <c r="H3" s="27" t="s">
        <v>0</v>
      </c>
      <c r="I3" s="27" t="s">
        <v>8</v>
      </c>
      <c r="J3" s="28" t="s">
        <v>9</v>
      </c>
      <c r="K3" s="26" t="s">
        <v>4</v>
      </c>
      <c r="L3" s="56" t="s">
        <v>15</v>
      </c>
      <c r="M3" s="27" t="s">
        <v>0</v>
      </c>
      <c r="N3" s="27" t="s">
        <v>8</v>
      </c>
      <c r="O3" s="28" t="s">
        <v>9</v>
      </c>
      <c r="P3" s="26" t="s">
        <v>4</v>
      </c>
      <c r="Q3" s="56" t="s">
        <v>15</v>
      </c>
      <c r="R3" s="27" t="s">
        <v>0</v>
      </c>
      <c r="S3" s="27" t="s">
        <v>8</v>
      </c>
      <c r="T3" s="28" t="s">
        <v>9</v>
      </c>
      <c r="U3" s="26" t="s">
        <v>4</v>
      </c>
      <c r="V3" s="56" t="s">
        <v>15</v>
      </c>
      <c r="W3" s="27" t="s">
        <v>0</v>
      </c>
      <c r="X3" s="27" t="s">
        <v>8</v>
      </c>
      <c r="Y3" s="28" t="s">
        <v>9</v>
      </c>
      <c r="Z3" s="26" t="s">
        <v>4</v>
      </c>
      <c r="AA3" s="56" t="s">
        <v>15</v>
      </c>
      <c r="AB3" s="27" t="s">
        <v>0</v>
      </c>
      <c r="AC3" s="27" t="s">
        <v>8</v>
      </c>
      <c r="AD3" s="28" t="s">
        <v>9</v>
      </c>
    </row>
    <row r="4" spans="1:30" s="8" customFormat="1" ht="40.15" customHeight="1" x14ac:dyDescent="0.2">
      <c r="A4" s="15" t="s">
        <v>2</v>
      </c>
      <c r="B4" s="48">
        <v>117.495</v>
      </c>
      <c r="C4" s="16">
        <v>5184.0543704787433</v>
      </c>
      <c r="D4" s="16">
        <v>609100.46825939999</v>
      </c>
      <c r="E4" s="17">
        <v>730920.56825940008</v>
      </c>
      <c r="F4" s="15" t="s">
        <v>2</v>
      </c>
      <c r="G4" s="48">
        <v>221.75</v>
      </c>
      <c r="H4" s="16">
        <v>4817.339574182638</v>
      </c>
      <c r="I4" s="16">
        <v>1068245.050575</v>
      </c>
      <c r="J4" s="17">
        <v>1281894.060575</v>
      </c>
      <c r="K4" s="15" t="s">
        <v>2</v>
      </c>
      <c r="L4" s="48">
        <v>271.14</v>
      </c>
      <c r="M4" s="16">
        <v>4476.8760054141912</v>
      </c>
      <c r="N4" s="16">
        <v>1213860.1601080038</v>
      </c>
      <c r="O4" s="17">
        <v>1456632.1901080038</v>
      </c>
      <c r="P4" s="15" t="s">
        <v>2</v>
      </c>
      <c r="Q4" s="48">
        <v>260.58499999999998</v>
      </c>
      <c r="R4" s="16">
        <v>5220.7799367847292</v>
      </c>
      <c r="S4" s="16">
        <v>1360456.9398270485</v>
      </c>
      <c r="T4" s="17">
        <v>1632548.3298270484</v>
      </c>
      <c r="U4" s="15" t="s">
        <v>2</v>
      </c>
      <c r="V4" s="48">
        <v>308.85000000000002</v>
      </c>
      <c r="W4" s="16">
        <v>6828.5854617209116</v>
      </c>
      <c r="X4" s="16">
        <v>2109008.6198525038</v>
      </c>
      <c r="Y4" s="17">
        <v>2530810.3499999996</v>
      </c>
      <c r="Z4" s="15" t="s">
        <v>2</v>
      </c>
      <c r="AA4" s="48">
        <v>329.02499999999998</v>
      </c>
      <c r="AB4" s="16">
        <v>7062.4458009976415</v>
      </c>
      <c r="AC4" s="16">
        <v>2323721.2296732487</v>
      </c>
      <c r="AD4" s="17">
        <v>2788465.48</v>
      </c>
    </row>
    <row r="5" spans="1:30" s="9" customFormat="1" ht="20.25" x14ac:dyDescent="0.2">
      <c r="A5" s="18" t="s">
        <v>5</v>
      </c>
      <c r="B5" s="49"/>
      <c r="C5" s="19"/>
      <c r="D5" s="19"/>
      <c r="E5" s="20"/>
      <c r="F5" s="18" t="s">
        <v>5</v>
      </c>
      <c r="G5" s="49"/>
      <c r="H5" s="19"/>
      <c r="I5" s="19"/>
      <c r="J5" s="20"/>
      <c r="K5" s="18" t="s">
        <v>5</v>
      </c>
      <c r="L5" s="49"/>
      <c r="M5" s="19"/>
      <c r="N5" s="19"/>
      <c r="O5" s="20"/>
      <c r="P5" s="18" t="s">
        <v>5</v>
      </c>
      <c r="Q5" s="49"/>
      <c r="R5" s="19"/>
      <c r="S5" s="19"/>
      <c r="T5" s="20"/>
      <c r="U5" s="18" t="s">
        <v>5</v>
      </c>
      <c r="V5" s="49"/>
      <c r="W5" s="19"/>
      <c r="X5" s="19"/>
      <c r="Y5" s="20"/>
      <c r="Z5" s="18" t="s">
        <v>5</v>
      </c>
      <c r="AA5" s="49"/>
      <c r="AB5" s="19"/>
      <c r="AC5" s="19"/>
      <c r="AD5" s="20"/>
    </row>
    <row r="6" spans="1:30" s="4" customFormat="1" ht="40.15" customHeight="1" x14ac:dyDescent="0.2">
      <c r="A6" s="21" t="s">
        <v>16</v>
      </c>
      <c r="B6" s="50">
        <v>37.26</v>
      </c>
      <c r="C6" s="3">
        <v>6155.3149599999997</v>
      </c>
      <c r="D6" s="3">
        <v>229347.03540959998</v>
      </c>
      <c r="E6" s="22">
        <v>275216.44540959998</v>
      </c>
      <c r="F6" s="21" t="s">
        <v>16</v>
      </c>
      <c r="G6" s="50">
        <v>0</v>
      </c>
      <c r="H6" s="3">
        <v>0</v>
      </c>
      <c r="I6" s="3">
        <v>0</v>
      </c>
      <c r="J6" s="22">
        <v>0</v>
      </c>
      <c r="K6" s="21" t="s">
        <v>16</v>
      </c>
      <c r="L6" s="50">
        <v>0</v>
      </c>
      <c r="M6" s="3">
        <v>0</v>
      </c>
      <c r="N6" s="3">
        <v>0</v>
      </c>
      <c r="O6" s="22">
        <v>0</v>
      </c>
      <c r="P6" s="21" t="s">
        <v>16</v>
      </c>
      <c r="Q6" s="50">
        <v>0</v>
      </c>
      <c r="R6" s="3">
        <v>0</v>
      </c>
      <c r="S6" s="3">
        <v>0</v>
      </c>
      <c r="T6" s="22">
        <v>0</v>
      </c>
      <c r="U6" s="21" t="s">
        <v>16</v>
      </c>
      <c r="V6" s="50">
        <v>0</v>
      </c>
      <c r="W6" s="3">
        <v>0</v>
      </c>
      <c r="X6" s="3">
        <v>0</v>
      </c>
      <c r="Y6" s="22">
        <v>0</v>
      </c>
      <c r="Z6" s="21" t="s">
        <v>16</v>
      </c>
      <c r="AA6" s="50">
        <v>0</v>
      </c>
      <c r="AB6" s="3">
        <v>0</v>
      </c>
      <c r="AC6" s="3">
        <v>0</v>
      </c>
      <c r="AD6" s="22">
        <v>0</v>
      </c>
    </row>
    <row r="7" spans="1:30" s="4" customFormat="1" ht="40.15" customHeight="1" x14ac:dyDescent="0.2">
      <c r="A7" s="21" t="s">
        <v>6</v>
      </c>
      <c r="B7" s="50">
        <v>0</v>
      </c>
      <c r="C7" s="3">
        <v>0</v>
      </c>
      <c r="D7" s="3">
        <v>0</v>
      </c>
      <c r="E7" s="22">
        <v>0</v>
      </c>
      <c r="F7" s="21" t="s">
        <v>6</v>
      </c>
      <c r="G7" s="50">
        <v>0</v>
      </c>
      <c r="H7" s="3">
        <v>0</v>
      </c>
      <c r="I7" s="3">
        <v>0</v>
      </c>
      <c r="J7" s="22">
        <v>0</v>
      </c>
      <c r="K7" s="21" t="s">
        <v>6</v>
      </c>
      <c r="L7" s="57">
        <v>7.8</v>
      </c>
      <c r="M7" s="58">
        <v>6666.4461538462001</v>
      </c>
      <c r="N7" s="3">
        <v>51998.280000000363</v>
      </c>
      <c r="O7" s="22">
        <v>62397.940000000366</v>
      </c>
      <c r="P7" s="21" t="s">
        <v>6</v>
      </c>
      <c r="Q7" s="57">
        <v>91.699999999999974</v>
      </c>
      <c r="R7" s="58">
        <v>3396.1526717556999</v>
      </c>
      <c r="S7" s="3">
        <v>311427.19999999757</v>
      </c>
      <c r="T7" s="22">
        <v>373712.63999999757</v>
      </c>
      <c r="U7" s="21" t="s">
        <v>6</v>
      </c>
      <c r="V7" s="57">
        <v>143.80000000000001</v>
      </c>
      <c r="W7" s="58">
        <v>5285.2446453408002</v>
      </c>
      <c r="X7" s="3">
        <v>760018.18000000715</v>
      </c>
      <c r="Y7" s="22">
        <v>912021.82</v>
      </c>
      <c r="Z7" s="21" t="s">
        <v>6</v>
      </c>
      <c r="AA7" s="57">
        <v>0</v>
      </c>
      <c r="AB7" s="58">
        <v>0</v>
      </c>
      <c r="AC7" s="3">
        <v>0</v>
      </c>
      <c r="AD7" s="22">
        <v>0</v>
      </c>
    </row>
    <row r="8" spans="1:30" s="4" customFormat="1" ht="40.15" customHeight="1" thickBot="1" x14ac:dyDescent="0.25">
      <c r="A8" s="23" t="s">
        <v>7</v>
      </c>
      <c r="B8" s="51">
        <v>0</v>
      </c>
      <c r="C8" s="24">
        <v>0</v>
      </c>
      <c r="D8" s="24">
        <v>0</v>
      </c>
      <c r="E8" s="25">
        <v>0</v>
      </c>
      <c r="F8" s="23" t="s">
        <v>7</v>
      </c>
      <c r="G8" s="51">
        <v>68</v>
      </c>
      <c r="H8" s="24">
        <v>2045.4657352941178</v>
      </c>
      <c r="I8" s="24">
        <v>139091.67000000001</v>
      </c>
      <c r="J8" s="25">
        <v>166910</v>
      </c>
      <c r="K8" s="23" t="s">
        <v>7</v>
      </c>
      <c r="L8" s="59">
        <v>170.5</v>
      </c>
      <c r="M8" s="60">
        <v>2040.4655131965001</v>
      </c>
      <c r="N8" s="24">
        <v>347899.37000000325</v>
      </c>
      <c r="O8" s="25">
        <v>417479.24000000325</v>
      </c>
      <c r="P8" s="23" t="s">
        <v>7</v>
      </c>
      <c r="Q8" s="59">
        <v>35.299999999999997</v>
      </c>
      <c r="R8" s="60">
        <v>3437.6906515580999</v>
      </c>
      <c r="S8" s="24">
        <v>121350.48000000091</v>
      </c>
      <c r="T8" s="25">
        <v>145620.58000000092</v>
      </c>
      <c r="U8" s="23" t="s">
        <v>7</v>
      </c>
      <c r="V8" s="59">
        <v>65.8</v>
      </c>
      <c r="W8" s="60">
        <v>5904.176899696</v>
      </c>
      <c r="X8" s="24">
        <v>388494.83999999677</v>
      </c>
      <c r="Y8" s="25">
        <v>466193.81</v>
      </c>
      <c r="Z8" s="23" t="s">
        <v>7</v>
      </c>
      <c r="AA8" s="59">
        <v>245.2</v>
      </c>
      <c r="AB8" s="60">
        <v>5619.7252446982002</v>
      </c>
      <c r="AC8" s="24">
        <v>1377956.6299999987</v>
      </c>
      <c r="AD8" s="25">
        <v>1653547.96</v>
      </c>
    </row>
    <row r="9" spans="1:30" s="4" customFormat="1" ht="40.15" customHeight="1" thickBot="1" x14ac:dyDescent="0.25">
      <c r="A9" s="37" t="s">
        <v>14</v>
      </c>
      <c r="B9" s="52">
        <v>80.234999999999999</v>
      </c>
      <c r="C9" s="38">
        <v>4733.0146800000002</v>
      </c>
      <c r="D9" s="38">
        <v>379753.43284980004</v>
      </c>
      <c r="E9" s="39">
        <v>455704.12284980004</v>
      </c>
      <c r="F9" s="37" t="s">
        <v>14</v>
      </c>
      <c r="G9" s="52">
        <v>153.75</v>
      </c>
      <c r="H9" s="38">
        <v>6043.2740199999998</v>
      </c>
      <c r="I9" s="38">
        <v>929153.38057499996</v>
      </c>
      <c r="J9" s="39">
        <v>1114984.060575</v>
      </c>
      <c r="K9" s="37" t="s">
        <v>14</v>
      </c>
      <c r="L9" s="61">
        <v>92.84</v>
      </c>
      <c r="M9" s="62">
        <v>8767.3687000000009</v>
      </c>
      <c r="N9" s="38">
        <v>813962.51010800013</v>
      </c>
      <c r="O9" s="39">
        <v>976755.01010800013</v>
      </c>
      <c r="P9" s="37" t="s">
        <v>14</v>
      </c>
      <c r="Q9" s="71">
        <v>133.58500000000001</v>
      </c>
      <c r="R9" s="72">
        <v>6944.4867299999996</v>
      </c>
      <c r="S9" s="38">
        <v>927679.25982705003</v>
      </c>
      <c r="T9" s="39">
        <v>1113215.10982705</v>
      </c>
      <c r="U9" s="37" t="s">
        <v>14</v>
      </c>
      <c r="V9" s="71">
        <v>99.25</v>
      </c>
      <c r="W9" s="72">
        <v>9677.5375299999996</v>
      </c>
      <c r="X9" s="38">
        <v>960495.59985250002</v>
      </c>
      <c r="Y9" s="39">
        <v>1152594.72</v>
      </c>
      <c r="Z9" s="37" t="s">
        <v>14</v>
      </c>
      <c r="AA9" s="71">
        <v>83.825000000000003</v>
      </c>
      <c r="AB9" s="72">
        <v>11282.60781</v>
      </c>
      <c r="AC9" s="38">
        <v>945764.59967324999</v>
      </c>
      <c r="AD9" s="39">
        <v>1134917.52</v>
      </c>
    </row>
    <row r="10" spans="1:30" s="8" customFormat="1" ht="40.15" customHeight="1" x14ac:dyDescent="0.2">
      <c r="A10" s="15" t="s">
        <v>3</v>
      </c>
      <c r="B10" s="48">
        <v>63.494999999999997</v>
      </c>
      <c r="C10" s="16">
        <v>6629.3649500000001</v>
      </c>
      <c r="D10" s="16">
        <v>420931.52750024997</v>
      </c>
      <c r="E10" s="17">
        <v>505117.83750024997</v>
      </c>
      <c r="F10" s="15" t="s">
        <v>3</v>
      </c>
      <c r="G10" s="48">
        <v>171.66499999999999</v>
      </c>
      <c r="H10" s="16">
        <v>10240.891385291701</v>
      </c>
      <c r="I10" s="16">
        <v>1758002.6196560999</v>
      </c>
      <c r="J10" s="17">
        <v>2109603.1396561004</v>
      </c>
      <c r="K10" s="15" t="s">
        <v>3</v>
      </c>
      <c r="L10" s="63">
        <v>224.32499999999999</v>
      </c>
      <c r="M10" s="64">
        <v>11040.661986235395</v>
      </c>
      <c r="N10" s="16">
        <v>2476696.5000622547</v>
      </c>
      <c r="O10" s="17">
        <v>2972035.8000622545</v>
      </c>
      <c r="P10" s="15" t="s">
        <v>3</v>
      </c>
      <c r="Q10" s="63">
        <v>209.40499999999997</v>
      </c>
      <c r="R10" s="64">
        <v>10306.553091779107</v>
      </c>
      <c r="S10" s="16">
        <v>2158243.7501840037</v>
      </c>
      <c r="T10" s="17">
        <v>2589892.5001840037</v>
      </c>
      <c r="U10" s="15" t="s">
        <v>3</v>
      </c>
      <c r="V10" s="63">
        <v>250.74</v>
      </c>
      <c r="W10" s="64">
        <v>11774.033142358623</v>
      </c>
      <c r="X10" s="16">
        <v>2952221.0701150014</v>
      </c>
      <c r="Y10" s="17">
        <v>3542665.28</v>
      </c>
      <c r="Z10" s="15" t="s">
        <v>3</v>
      </c>
      <c r="AA10" s="63">
        <v>281.49</v>
      </c>
      <c r="AB10" s="64">
        <v>13229.903016364728</v>
      </c>
      <c r="AC10" s="16">
        <v>3724085.4000765071</v>
      </c>
      <c r="AD10" s="17">
        <v>4468902.4800000004</v>
      </c>
    </row>
    <row r="11" spans="1:30" s="9" customFormat="1" ht="20.25" x14ac:dyDescent="0.2">
      <c r="A11" s="18" t="s">
        <v>5</v>
      </c>
      <c r="B11" s="49"/>
      <c r="C11" s="19"/>
      <c r="D11" s="19"/>
      <c r="E11" s="20"/>
      <c r="F11" s="18" t="s">
        <v>5</v>
      </c>
      <c r="G11" s="49"/>
      <c r="H11" s="19"/>
      <c r="I11" s="19"/>
      <c r="J11" s="20"/>
      <c r="K11" s="18" t="s">
        <v>5</v>
      </c>
      <c r="L11" s="65"/>
      <c r="M11" s="66"/>
      <c r="N11" s="19"/>
      <c r="O11" s="20"/>
      <c r="P11" s="18" t="s">
        <v>5</v>
      </c>
      <c r="Q11" s="65"/>
      <c r="R11" s="66"/>
      <c r="S11" s="19"/>
      <c r="T11" s="20"/>
      <c r="U11" s="18" t="s">
        <v>5</v>
      </c>
      <c r="V11" s="65"/>
      <c r="W11" s="66"/>
      <c r="X11" s="19"/>
      <c r="Y11" s="20"/>
      <c r="Z11" s="18" t="s">
        <v>5</v>
      </c>
      <c r="AA11" s="65"/>
      <c r="AB11" s="66"/>
      <c r="AC11" s="19"/>
      <c r="AD11" s="20"/>
    </row>
    <row r="12" spans="1:30" s="4" customFormat="1" ht="40.15" customHeight="1" x14ac:dyDescent="0.2">
      <c r="A12" s="21" t="s">
        <v>6</v>
      </c>
      <c r="B12" s="50">
        <v>0</v>
      </c>
      <c r="C12" s="3">
        <v>0</v>
      </c>
      <c r="D12" s="3">
        <v>0</v>
      </c>
      <c r="E12" s="22">
        <v>0</v>
      </c>
      <c r="F12" s="21" t="s">
        <v>6</v>
      </c>
      <c r="G12" s="50">
        <v>30</v>
      </c>
      <c r="H12" s="3">
        <v>14860.024000000001</v>
      </c>
      <c r="I12" s="3">
        <v>445800.72000000003</v>
      </c>
      <c r="J12" s="22">
        <v>534960.86</v>
      </c>
      <c r="K12" s="21" t="s">
        <v>6</v>
      </c>
      <c r="L12" s="57">
        <v>104.1</v>
      </c>
      <c r="M12" s="58">
        <v>14457.287992315099</v>
      </c>
      <c r="N12" s="3">
        <v>1505003.6800000018</v>
      </c>
      <c r="O12" s="22">
        <v>1806004.4200000018</v>
      </c>
      <c r="P12" s="21" t="s">
        <v>6</v>
      </c>
      <c r="Q12" s="57">
        <v>89.399999999999991</v>
      </c>
      <c r="R12" s="58">
        <v>13208.967114094001</v>
      </c>
      <c r="S12" s="3">
        <v>1180881.6600000036</v>
      </c>
      <c r="T12" s="22">
        <v>1417057.9900000037</v>
      </c>
      <c r="U12" s="21" t="s">
        <v>6</v>
      </c>
      <c r="V12" s="57">
        <v>127.9</v>
      </c>
      <c r="W12" s="58">
        <v>13110.5406567631</v>
      </c>
      <c r="X12" s="3">
        <v>1676838.1500000006</v>
      </c>
      <c r="Y12" s="22">
        <v>2012205.78</v>
      </c>
      <c r="Z12" s="21" t="s">
        <v>6</v>
      </c>
      <c r="AA12" s="57">
        <v>5</v>
      </c>
      <c r="AB12" s="58">
        <v>14934.11</v>
      </c>
      <c r="AC12" s="3">
        <v>74670.55</v>
      </c>
      <c r="AD12" s="22">
        <v>89604.66</v>
      </c>
    </row>
    <row r="13" spans="1:30" s="4" customFormat="1" ht="40.15" customHeight="1" thickBot="1" x14ac:dyDescent="0.25">
      <c r="A13" s="23" t="s">
        <v>7</v>
      </c>
      <c r="B13" s="51">
        <v>0</v>
      </c>
      <c r="C13" s="24">
        <v>0</v>
      </c>
      <c r="D13" s="24">
        <v>0</v>
      </c>
      <c r="E13" s="25">
        <v>0</v>
      </c>
      <c r="F13" s="23" t="s">
        <v>7</v>
      </c>
      <c r="G13" s="51">
        <v>45.3</v>
      </c>
      <c r="H13" s="24">
        <v>10143.800441501104</v>
      </c>
      <c r="I13" s="24">
        <v>459514.16</v>
      </c>
      <c r="J13" s="25">
        <v>551416.99</v>
      </c>
      <c r="K13" s="23" t="s">
        <v>7</v>
      </c>
      <c r="L13" s="59">
        <v>64.5</v>
      </c>
      <c r="M13" s="60">
        <v>11213.3328682171</v>
      </c>
      <c r="N13" s="24">
        <v>723259.97000000288</v>
      </c>
      <c r="O13" s="25">
        <v>867911.96000000287</v>
      </c>
      <c r="P13" s="23" t="s">
        <v>7</v>
      </c>
      <c r="Q13" s="59">
        <v>38.5</v>
      </c>
      <c r="R13" s="60">
        <v>11498.0064935065</v>
      </c>
      <c r="S13" s="24">
        <v>442673.25000000023</v>
      </c>
      <c r="T13" s="25">
        <v>531207.90000000026</v>
      </c>
      <c r="U13" s="23" t="s">
        <v>7</v>
      </c>
      <c r="V13" s="59">
        <v>67.099999999999994</v>
      </c>
      <c r="W13" s="60">
        <v>12707.657228017901</v>
      </c>
      <c r="X13" s="24">
        <v>852683.80000000109</v>
      </c>
      <c r="Y13" s="25">
        <v>1023220.56</v>
      </c>
      <c r="Z13" s="23" t="s">
        <v>7</v>
      </c>
      <c r="AA13" s="59">
        <v>230.9</v>
      </c>
      <c r="AB13" s="60">
        <v>13985.984019055901</v>
      </c>
      <c r="AC13" s="24">
        <v>3229363.7100000074</v>
      </c>
      <c r="AD13" s="25">
        <v>3875236.45</v>
      </c>
    </row>
    <row r="14" spans="1:30" s="4" customFormat="1" ht="40.15" customHeight="1" thickBot="1" x14ac:dyDescent="0.25">
      <c r="A14" s="37" t="s">
        <v>14</v>
      </c>
      <c r="B14" s="53">
        <v>63.494999999999997</v>
      </c>
      <c r="C14" s="40">
        <v>6629.3649500000001</v>
      </c>
      <c r="D14" s="40">
        <v>420931.52750024997</v>
      </c>
      <c r="E14" s="41">
        <v>505117.83750024997</v>
      </c>
      <c r="F14" s="37" t="s">
        <v>14</v>
      </c>
      <c r="G14" s="53">
        <v>96.364999999999995</v>
      </c>
      <c r="H14" s="40">
        <v>8848.5211400000007</v>
      </c>
      <c r="I14" s="40">
        <v>852687.73965610005</v>
      </c>
      <c r="J14" s="41">
        <v>1023225.2896561001</v>
      </c>
      <c r="K14" s="37" t="s">
        <v>14</v>
      </c>
      <c r="L14" s="67">
        <v>55.725000000000001</v>
      </c>
      <c r="M14" s="68">
        <v>4458.1938099999998</v>
      </c>
      <c r="N14" s="40">
        <v>248432.85006224999</v>
      </c>
      <c r="O14" s="41">
        <v>298119.42006224999</v>
      </c>
      <c r="P14" s="37" t="s">
        <v>14</v>
      </c>
      <c r="Q14" s="73">
        <v>81.504999999999995</v>
      </c>
      <c r="R14" s="74">
        <v>6560.1967999999997</v>
      </c>
      <c r="S14" s="40">
        <v>534688.84018399997</v>
      </c>
      <c r="T14" s="41">
        <v>641626.61018399999</v>
      </c>
      <c r="U14" s="37" t="s">
        <v>14</v>
      </c>
      <c r="V14" s="73">
        <v>55.74</v>
      </c>
      <c r="W14" s="74">
        <v>7583.4072500000002</v>
      </c>
      <c r="X14" s="40">
        <v>422699.120115</v>
      </c>
      <c r="Y14" s="41">
        <v>507238.94</v>
      </c>
      <c r="Z14" s="37" t="s">
        <v>14</v>
      </c>
      <c r="AA14" s="73">
        <v>45.59</v>
      </c>
      <c r="AB14" s="74">
        <v>9213.6683499999999</v>
      </c>
      <c r="AC14" s="40">
        <v>420051.14007650001</v>
      </c>
      <c r="AD14" s="41">
        <v>504061.37</v>
      </c>
    </row>
    <row r="15" spans="1:30" s="11" customFormat="1" ht="40.15" customHeight="1" thickBot="1" x14ac:dyDescent="0.35">
      <c r="A15" s="12" t="s">
        <v>1</v>
      </c>
      <c r="B15" s="54">
        <v>-54.000000000000007</v>
      </c>
      <c r="C15" s="13">
        <v>1445.3105795212568</v>
      </c>
      <c r="D15" s="13">
        <v>-188168.94075915002</v>
      </c>
      <c r="E15" s="14">
        <v>-225802.73075915012</v>
      </c>
      <c r="F15" s="12" t="s">
        <v>1</v>
      </c>
      <c r="G15" s="54">
        <v>-50.085000000000008</v>
      </c>
      <c r="H15" s="13">
        <v>5423.5518111090632</v>
      </c>
      <c r="I15" s="13">
        <v>689757.56908109994</v>
      </c>
      <c r="J15" s="14">
        <v>827709.07908110041</v>
      </c>
      <c r="K15" s="12" t="s">
        <v>1</v>
      </c>
      <c r="L15" s="54">
        <v>-46.814999999999998</v>
      </c>
      <c r="M15" s="13">
        <v>6563.7859808212033</v>
      </c>
      <c r="N15" s="13">
        <v>1262836.339954251</v>
      </c>
      <c r="O15" s="14">
        <v>1515403.6099542507</v>
      </c>
      <c r="P15" s="12" t="s">
        <v>1</v>
      </c>
      <c r="Q15" s="54">
        <v>-51.180000000000007</v>
      </c>
      <c r="R15" s="13">
        <v>5085.7731549943783</v>
      </c>
      <c r="S15" s="13">
        <v>797786.81035695528</v>
      </c>
      <c r="T15" s="14">
        <v>957344.17035695538</v>
      </c>
      <c r="U15" s="12" t="s">
        <v>1</v>
      </c>
      <c r="V15" s="54">
        <v>-58.110000000000014</v>
      </c>
      <c r="W15" s="13">
        <v>4945.4476806377115</v>
      </c>
      <c r="X15" s="13">
        <v>843212.45026249764</v>
      </c>
      <c r="Y15" s="14">
        <v>1011854.9300000002</v>
      </c>
      <c r="Z15" s="12" t="s">
        <v>1</v>
      </c>
      <c r="AA15" s="54">
        <v>-47.534999999999968</v>
      </c>
      <c r="AB15" s="13">
        <v>6167.4572153670861</v>
      </c>
      <c r="AC15" s="13">
        <v>1400364.1704032584</v>
      </c>
      <c r="AD15" s="14">
        <v>1680437.0000000005</v>
      </c>
    </row>
    <row r="17" spans="1:30" s="29" customFormat="1" ht="105" customHeight="1" x14ac:dyDescent="0.2">
      <c r="A17" s="118" t="s">
        <v>20</v>
      </c>
      <c r="B17" s="118"/>
      <c r="C17" s="118"/>
      <c r="D17" s="118"/>
      <c r="E17" s="118"/>
      <c r="F17" s="118" t="s">
        <v>18</v>
      </c>
      <c r="G17" s="118"/>
      <c r="H17" s="118"/>
      <c r="I17" s="118"/>
      <c r="J17" s="118"/>
      <c r="K17" s="118" t="s">
        <v>22</v>
      </c>
      <c r="L17" s="118"/>
      <c r="M17" s="118"/>
      <c r="N17" s="118"/>
      <c r="O17" s="118"/>
      <c r="P17" s="118" t="s">
        <v>24</v>
      </c>
      <c r="Q17" s="118"/>
      <c r="R17" s="118"/>
      <c r="S17" s="118"/>
      <c r="T17" s="118"/>
      <c r="U17" s="118" t="s">
        <v>26</v>
      </c>
      <c r="V17" s="118"/>
      <c r="W17" s="118"/>
      <c r="X17" s="118"/>
      <c r="Y17" s="118"/>
      <c r="Z17" s="118" t="s">
        <v>30</v>
      </c>
      <c r="AA17" s="118"/>
      <c r="AB17" s="118"/>
      <c r="AC17" s="118"/>
      <c r="AD17" s="118"/>
    </row>
    <row r="18" spans="1:30" ht="13.5" thickBot="1" x14ac:dyDescent="0.25"/>
    <row r="19" spans="1:30" s="2" customFormat="1" ht="59.45" customHeight="1" thickBot="1" x14ac:dyDescent="0.35">
      <c r="A19" s="26" t="s">
        <v>4</v>
      </c>
      <c r="B19" s="56" t="s">
        <v>15</v>
      </c>
      <c r="C19" s="27" t="s">
        <v>0</v>
      </c>
      <c r="D19" s="27" t="s">
        <v>8</v>
      </c>
      <c r="E19" s="28" t="s">
        <v>9</v>
      </c>
      <c r="F19" s="26" t="s">
        <v>4</v>
      </c>
      <c r="G19" s="56" t="s">
        <v>15</v>
      </c>
      <c r="H19" s="27" t="s">
        <v>0</v>
      </c>
      <c r="I19" s="27" t="s">
        <v>8</v>
      </c>
      <c r="J19" s="28" t="s">
        <v>9</v>
      </c>
      <c r="K19" s="26" t="s">
        <v>4</v>
      </c>
      <c r="L19" s="56" t="s">
        <v>15</v>
      </c>
      <c r="M19" s="27" t="s">
        <v>0</v>
      </c>
      <c r="N19" s="27" t="s">
        <v>8</v>
      </c>
      <c r="O19" s="28" t="s">
        <v>9</v>
      </c>
      <c r="P19" s="26" t="s">
        <v>4</v>
      </c>
      <c r="Q19" s="56" t="s">
        <v>15</v>
      </c>
      <c r="R19" s="27" t="s">
        <v>0</v>
      </c>
      <c r="S19" s="27" t="s">
        <v>8</v>
      </c>
      <c r="T19" s="28" t="s">
        <v>9</v>
      </c>
      <c r="U19" s="26" t="s">
        <v>4</v>
      </c>
      <c r="V19" s="56" t="s">
        <v>15</v>
      </c>
      <c r="W19" s="27" t="s">
        <v>0</v>
      </c>
      <c r="X19" s="27" t="s">
        <v>8</v>
      </c>
      <c r="Y19" s="28" t="s">
        <v>9</v>
      </c>
      <c r="Z19" s="26" t="s">
        <v>4</v>
      </c>
      <c r="AA19" s="56" t="s">
        <v>15</v>
      </c>
      <c r="AB19" s="27" t="s">
        <v>0</v>
      </c>
      <c r="AC19" s="27" t="s">
        <v>8</v>
      </c>
      <c r="AD19" s="28" t="s">
        <v>9</v>
      </c>
    </row>
    <row r="20" spans="1:30" s="8" customFormat="1" ht="40.15" customHeight="1" x14ac:dyDescent="0.2">
      <c r="A20" s="15" t="s">
        <v>2</v>
      </c>
      <c r="B20" s="48">
        <v>295.42399999999998</v>
      </c>
      <c r="C20" s="16">
        <v>5002.8381839948015</v>
      </c>
      <c r="D20" s="16">
        <v>1477958.46766848</v>
      </c>
      <c r="E20" s="17">
        <v>1773550.15766848</v>
      </c>
      <c r="F20" s="15" t="s">
        <v>2</v>
      </c>
      <c r="G20" s="48">
        <v>289.0920000000001</v>
      </c>
      <c r="H20" s="16">
        <v>4665.8598434188407</v>
      </c>
      <c r="I20" s="16">
        <v>1348862.7538536401</v>
      </c>
      <c r="J20" s="17">
        <v>1618635.3038536401</v>
      </c>
      <c r="K20" s="15" t="s">
        <v>2</v>
      </c>
      <c r="L20" s="48">
        <v>361.67200000000003</v>
      </c>
      <c r="M20" s="16">
        <v>4245.7608564195298</v>
      </c>
      <c r="N20" s="16">
        <v>1535572.8204629642</v>
      </c>
      <c r="O20" s="17">
        <v>1842687.3804629643</v>
      </c>
      <c r="P20" s="15" t="s">
        <v>2</v>
      </c>
      <c r="Q20" s="48">
        <v>353.99599999999998</v>
      </c>
      <c r="R20" s="16">
        <v>5056.0548420230789</v>
      </c>
      <c r="S20" s="16">
        <v>1789823.1898568016</v>
      </c>
      <c r="T20" s="17">
        <v>2147787.8298568018</v>
      </c>
      <c r="U20" s="15" t="s">
        <v>2</v>
      </c>
      <c r="V20" s="48">
        <v>423.41599999999994</v>
      </c>
      <c r="W20" s="16">
        <v>6727.2912701810101</v>
      </c>
      <c r="X20" s="16">
        <v>2848442.760454962</v>
      </c>
      <c r="Y20" s="17">
        <v>3418131.31</v>
      </c>
      <c r="Z20" s="15" t="s">
        <v>2</v>
      </c>
      <c r="AA20" s="48">
        <v>422.79600000000005</v>
      </c>
      <c r="AB20" s="16">
        <v>6981.6524511134494</v>
      </c>
      <c r="AC20" s="16">
        <v>2951814.7297209622</v>
      </c>
      <c r="AD20" s="17">
        <v>3542177.67</v>
      </c>
    </row>
    <row r="21" spans="1:30" s="9" customFormat="1" ht="20.25" x14ac:dyDescent="0.2">
      <c r="A21" s="18" t="s">
        <v>5</v>
      </c>
      <c r="B21" s="49"/>
      <c r="C21" s="19"/>
      <c r="D21" s="19"/>
      <c r="E21" s="20"/>
      <c r="F21" s="18" t="s">
        <v>5</v>
      </c>
      <c r="G21" s="49"/>
      <c r="H21" s="19"/>
      <c r="I21" s="19"/>
      <c r="J21" s="20"/>
      <c r="K21" s="18" t="s">
        <v>5</v>
      </c>
      <c r="L21" s="49"/>
      <c r="M21" s="19"/>
      <c r="N21" s="19"/>
      <c r="O21" s="20"/>
      <c r="P21" s="18" t="s">
        <v>5</v>
      </c>
      <c r="Q21" s="49"/>
      <c r="R21" s="19"/>
      <c r="S21" s="19"/>
      <c r="T21" s="20"/>
      <c r="U21" s="18" t="s">
        <v>5</v>
      </c>
      <c r="V21" s="49"/>
      <c r="W21" s="19"/>
      <c r="X21" s="19"/>
      <c r="Y21" s="20"/>
      <c r="Z21" s="18" t="s">
        <v>5</v>
      </c>
      <c r="AA21" s="49"/>
      <c r="AB21" s="19"/>
      <c r="AC21" s="19"/>
      <c r="AD21" s="20"/>
    </row>
    <row r="22" spans="1:30" s="4" customFormat="1" ht="40.15" customHeight="1" x14ac:dyDescent="0.2">
      <c r="A22" s="21" t="s">
        <v>16</v>
      </c>
      <c r="B22" s="50">
        <v>24.096</v>
      </c>
      <c r="C22" s="3">
        <v>6413.1897099999996</v>
      </c>
      <c r="D22" s="3">
        <v>154532.21925215999</v>
      </c>
      <c r="E22" s="22">
        <v>185438.65925216</v>
      </c>
      <c r="F22" s="21" t="s">
        <v>16</v>
      </c>
      <c r="G22" s="50">
        <v>0</v>
      </c>
      <c r="H22" s="3">
        <v>0</v>
      </c>
      <c r="I22" s="3">
        <v>0</v>
      </c>
      <c r="J22" s="22">
        <v>0</v>
      </c>
      <c r="K22" s="21" t="s">
        <v>16</v>
      </c>
      <c r="L22" s="50">
        <v>0</v>
      </c>
      <c r="M22" s="3">
        <v>0</v>
      </c>
      <c r="N22" s="3">
        <v>0</v>
      </c>
      <c r="O22" s="22">
        <v>0</v>
      </c>
      <c r="P22" s="21" t="s">
        <v>16</v>
      </c>
      <c r="Q22" s="50">
        <v>0</v>
      </c>
      <c r="R22" s="3">
        <v>0</v>
      </c>
      <c r="S22" s="3">
        <v>0</v>
      </c>
      <c r="T22" s="22">
        <v>0</v>
      </c>
      <c r="U22" s="21" t="s">
        <v>16</v>
      </c>
      <c r="V22" s="50">
        <v>0</v>
      </c>
      <c r="W22" s="3">
        <v>0</v>
      </c>
      <c r="X22" s="3">
        <v>0</v>
      </c>
      <c r="Y22" s="22">
        <v>0</v>
      </c>
      <c r="Z22" s="21" t="s">
        <v>16</v>
      </c>
      <c r="AA22" s="50">
        <v>0</v>
      </c>
      <c r="AB22" s="3">
        <v>0</v>
      </c>
      <c r="AC22" s="3">
        <v>0</v>
      </c>
      <c r="AD22" s="22">
        <v>0</v>
      </c>
    </row>
    <row r="23" spans="1:30" s="4" customFormat="1" ht="40.15" customHeight="1" x14ac:dyDescent="0.2">
      <c r="A23" s="21" t="s">
        <v>6</v>
      </c>
      <c r="B23" s="50">
        <v>0</v>
      </c>
      <c r="C23" s="3">
        <v>0</v>
      </c>
      <c r="D23" s="3">
        <v>0</v>
      </c>
      <c r="E23" s="22">
        <v>0</v>
      </c>
      <c r="F23" s="21" t="s">
        <v>6</v>
      </c>
      <c r="G23" s="50">
        <v>0</v>
      </c>
      <c r="H23" s="3">
        <v>0</v>
      </c>
      <c r="I23" s="3">
        <v>0</v>
      </c>
      <c r="J23" s="22">
        <v>0</v>
      </c>
      <c r="K23" s="21" t="s">
        <v>6</v>
      </c>
      <c r="L23" s="57">
        <v>8.6</v>
      </c>
      <c r="M23" s="58">
        <v>6666.9883720930002</v>
      </c>
      <c r="N23" s="3">
        <v>57336.099999999802</v>
      </c>
      <c r="O23" s="22">
        <v>68803.319999999803</v>
      </c>
      <c r="P23" s="21" t="s">
        <v>6</v>
      </c>
      <c r="Q23" s="57">
        <v>130.20000000000002</v>
      </c>
      <c r="R23" s="58">
        <v>3471.1336405530001</v>
      </c>
      <c r="S23" s="3">
        <v>451941.60000000068</v>
      </c>
      <c r="T23" s="22">
        <v>542329.92000000062</v>
      </c>
      <c r="U23" s="21" t="s">
        <v>6</v>
      </c>
      <c r="V23" s="57">
        <v>207.2</v>
      </c>
      <c r="W23" s="58">
        <v>5318.0752895753003</v>
      </c>
      <c r="X23" s="3">
        <v>1101905.200000002</v>
      </c>
      <c r="Y23" s="22">
        <v>1322286.24</v>
      </c>
      <c r="Z23" s="21" t="s">
        <v>6</v>
      </c>
      <c r="AA23" s="57">
        <v>0</v>
      </c>
      <c r="AB23" s="58">
        <v>0</v>
      </c>
      <c r="AC23" s="3">
        <v>0</v>
      </c>
      <c r="AD23" s="22">
        <v>0</v>
      </c>
    </row>
    <row r="24" spans="1:30" s="4" customFormat="1" ht="40.15" customHeight="1" thickBot="1" x14ac:dyDescent="0.25">
      <c r="A24" s="23" t="s">
        <v>7</v>
      </c>
      <c r="B24" s="51">
        <v>0</v>
      </c>
      <c r="C24" s="24">
        <v>0</v>
      </c>
      <c r="D24" s="24">
        <v>0</v>
      </c>
      <c r="E24" s="25">
        <v>0</v>
      </c>
      <c r="F24" s="23" t="s">
        <v>7</v>
      </c>
      <c r="G24" s="51">
        <v>92.000000000000071</v>
      </c>
      <c r="H24" s="24">
        <v>2086.6125434782593</v>
      </c>
      <c r="I24" s="24">
        <v>191968.35400000002</v>
      </c>
      <c r="J24" s="25">
        <v>230362.02400000003</v>
      </c>
      <c r="K24" s="23" t="s">
        <v>7</v>
      </c>
      <c r="L24" s="59">
        <v>239.9</v>
      </c>
      <c r="M24" s="60">
        <v>2048.6764068361999</v>
      </c>
      <c r="N24" s="24">
        <v>491477.4700000044</v>
      </c>
      <c r="O24" s="25">
        <v>589772.96000000439</v>
      </c>
      <c r="P24" s="23" t="s">
        <v>7</v>
      </c>
      <c r="Q24" s="59">
        <v>51.099999999999994</v>
      </c>
      <c r="R24" s="60">
        <v>3741.6720156555998</v>
      </c>
      <c r="S24" s="24">
        <v>191199.44000000114</v>
      </c>
      <c r="T24" s="25">
        <v>229439.33000000112</v>
      </c>
      <c r="U24" s="23" t="s">
        <v>7</v>
      </c>
      <c r="V24" s="59">
        <v>93.6</v>
      </c>
      <c r="W24" s="60">
        <v>6052.35</v>
      </c>
      <c r="X24" s="24">
        <v>566499.96</v>
      </c>
      <c r="Y24" s="25">
        <v>679799.95</v>
      </c>
      <c r="Z24" s="23" t="s">
        <v>7</v>
      </c>
      <c r="AA24" s="59">
        <v>321.10000000000002</v>
      </c>
      <c r="AB24" s="60">
        <v>5631.7309872313999</v>
      </c>
      <c r="AC24" s="24">
        <v>1808348.8200000026</v>
      </c>
      <c r="AD24" s="25">
        <v>2170018.58</v>
      </c>
    </row>
    <row r="25" spans="1:30" s="4" customFormat="1" ht="40.15" customHeight="1" thickBot="1" x14ac:dyDescent="0.25">
      <c r="A25" s="37" t="s">
        <v>14</v>
      </c>
      <c r="B25" s="52">
        <v>271.32799999999997</v>
      </c>
      <c r="C25" s="38">
        <v>4877.5881900000004</v>
      </c>
      <c r="D25" s="38">
        <v>1323426.24841632</v>
      </c>
      <c r="E25" s="39">
        <v>1588111.49841632</v>
      </c>
      <c r="F25" s="37" t="s">
        <v>14</v>
      </c>
      <c r="G25" s="52">
        <v>197.09200000000001</v>
      </c>
      <c r="H25" s="38">
        <v>5869.8191699999998</v>
      </c>
      <c r="I25" s="38">
        <v>1156894.39985364</v>
      </c>
      <c r="J25" s="39">
        <v>1388273.2798536401</v>
      </c>
      <c r="K25" s="37" t="s">
        <v>14</v>
      </c>
      <c r="L25" s="61">
        <v>113.172</v>
      </c>
      <c r="M25" s="62">
        <v>8719.1111799999999</v>
      </c>
      <c r="N25" s="38">
        <v>986759.25046295999</v>
      </c>
      <c r="O25" s="39">
        <v>1184111.1004629601</v>
      </c>
      <c r="P25" s="37" t="s">
        <v>14</v>
      </c>
      <c r="Q25" s="71">
        <v>172.696</v>
      </c>
      <c r="R25" s="72">
        <v>6639.8882999999996</v>
      </c>
      <c r="S25" s="38">
        <v>1146682.1498568</v>
      </c>
      <c r="T25" s="39">
        <v>1376018.5798567999</v>
      </c>
      <c r="U25" s="37" t="s">
        <v>14</v>
      </c>
      <c r="V25" s="71">
        <v>122.616</v>
      </c>
      <c r="W25" s="72">
        <v>9623.8468099999991</v>
      </c>
      <c r="X25" s="38">
        <v>1180037.6004549598</v>
      </c>
      <c r="Y25" s="39">
        <v>1416045.12</v>
      </c>
      <c r="Z25" s="37" t="s">
        <v>14</v>
      </c>
      <c r="AA25" s="71">
        <v>101.696</v>
      </c>
      <c r="AB25" s="72">
        <v>11243.961509999999</v>
      </c>
      <c r="AC25" s="38">
        <v>1143465.9097209598</v>
      </c>
      <c r="AD25" s="39">
        <v>1372159.09</v>
      </c>
    </row>
    <row r="26" spans="1:30" s="8" customFormat="1" ht="40.15" customHeight="1" x14ac:dyDescent="0.2">
      <c r="A26" s="15" t="s">
        <v>3</v>
      </c>
      <c r="B26" s="48">
        <v>231.072</v>
      </c>
      <c r="C26" s="16">
        <v>6382.7611100000004</v>
      </c>
      <c r="D26" s="16">
        <v>1474877.3752099201</v>
      </c>
      <c r="E26" s="17">
        <v>1769852.8552099201</v>
      </c>
      <c r="F26" s="15" t="s">
        <v>3</v>
      </c>
      <c r="G26" s="48">
        <v>224.99600000000004</v>
      </c>
      <c r="H26" s="16">
        <v>10656.498300608009</v>
      </c>
      <c r="I26" s="16">
        <v>2397669.4916436002</v>
      </c>
      <c r="J26" s="17">
        <v>2877203.4016435998</v>
      </c>
      <c r="K26" s="15" t="s">
        <v>3</v>
      </c>
      <c r="L26" s="63">
        <v>298.98400000000004</v>
      </c>
      <c r="M26" s="64">
        <v>11352.032784125184</v>
      </c>
      <c r="N26" s="16">
        <v>3394076.1699288841</v>
      </c>
      <c r="O26" s="17">
        <v>4072891.4099288844</v>
      </c>
      <c r="P26" s="15" t="s">
        <v>3</v>
      </c>
      <c r="Q26" s="63">
        <v>287.58000000000004</v>
      </c>
      <c r="R26" s="64">
        <v>10600.982926771672</v>
      </c>
      <c r="S26" s="16">
        <v>3048630.670080998</v>
      </c>
      <c r="T26" s="17">
        <v>3658356.8100809976</v>
      </c>
      <c r="U26" s="15" t="s">
        <v>3</v>
      </c>
      <c r="V26" s="63">
        <v>346.45600000000002</v>
      </c>
      <c r="W26" s="64">
        <v>11877.209574045752</v>
      </c>
      <c r="X26" s="16">
        <v>4114930.5201855949</v>
      </c>
      <c r="Y26" s="17">
        <v>4937916.63</v>
      </c>
      <c r="Z26" s="15" t="s">
        <v>3</v>
      </c>
      <c r="AA26" s="63">
        <v>362.12399999999997</v>
      </c>
      <c r="AB26" s="64">
        <v>13247.665163941338</v>
      </c>
      <c r="AC26" s="16">
        <v>4797297.4998270925</v>
      </c>
      <c r="AD26" s="17">
        <v>5756757</v>
      </c>
    </row>
    <row r="27" spans="1:30" s="9" customFormat="1" ht="20.25" x14ac:dyDescent="0.2">
      <c r="A27" s="18" t="s">
        <v>5</v>
      </c>
      <c r="B27" s="49"/>
      <c r="C27" s="19"/>
      <c r="D27" s="19"/>
      <c r="E27" s="20"/>
      <c r="F27" s="18" t="s">
        <v>5</v>
      </c>
      <c r="G27" s="49"/>
      <c r="H27" s="19"/>
      <c r="I27" s="19"/>
      <c r="J27" s="20"/>
      <c r="K27" s="18" t="s">
        <v>5</v>
      </c>
      <c r="L27" s="65"/>
      <c r="M27" s="66"/>
      <c r="N27" s="19"/>
      <c r="O27" s="20"/>
      <c r="P27" s="18" t="s">
        <v>5</v>
      </c>
      <c r="Q27" s="65"/>
      <c r="R27" s="66"/>
      <c r="S27" s="19"/>
      <c r="T27" s="20"/>
      <c r="U27" s="18" t="s">
        <v>5</v>
      </c>
      <c r="V27" s="65"/>
      <c r="W27" s="66"/>
      <c r="X27" s="19"/>
      <c r="Y27" s="20"/>
      <c r="Z27" s="18" t="s">
        <v>5</v>
      </c>
      <c r="AA27" s="65"/>
      <c r="AB27" s="66"/>
      <c r="AC27" s="19"/>
      <c r="AD27" s="20"/>
    </row>
    <row r="28" spans="1:30" s="4" customFormat="1" ht="40.15" customHeight="1" x14ac:dyDescent="0.2">
      <c r="A28" s="21" t="s">
        <v>6</v>
      </c>
      <c r="B28" s="50">
        <v>0</v>
      </c>
      <c r="C28" s="3">
        <v>0</v>
      </c>
      <c r="D28" s="3">
        <v>0</v>
      </c>
      <c r="E28" s="22">
        <v>0</v>
      </c>
      <c r="F28" s="21" t="s">
        <v>6</v>
      </c>
      <c r="G28" s="50">
        <v>43.20000000000001</v>
      </c>
      <c r="H28" s="3">
        <v>14834.847916666664</v>
      </c>
      <c r="I28" s="3">
        <v>640865.43000000005</v>
      </c>
      <c r="J28" s="22">
        <v>769038.52</v>
      </c>
      <c r="K28" s="21" t="s">
        <v>6</v>
      </c>
      <c r="L28" s="57">
        <v>147.30000000000001</v>
      </c>
      <c r="M28" s="58">
        <v>14438.5752206382</v>
      </c>
      <c r="N28" s="3">
        <v>2126802.1300000069</v>
      </c>
      <c r="O28" s="22">
        <v>2552162.560000007</v>
      </c>
      <c r="P28" s="21" t="s">
        <v>6</v>
      </c>
      <c r="Q28" s="57">
        <v>130.50000000000003</v>
      </c>
      <c r="R28" s="58">
        <v>13186.2017624521</v>
      </c>
      <c r="S28" s="3">
        <v>1720799.3299999994</v>
      </c>
      <c r="T28" s="22">
        <v>2064959.1999999993</v>
      </c>
      <c r="U28" s="21" t="s">
        <v>6</v>
      </c>
      <c r="V28" s="57">
        <v>184.3</v>
      </c>
      <c r="W28" s="58">
        <v>13124.011828540401</v>
      </c>
      <c r="X28" s="3">
        <v>2418755.3799999962</v>
      </c>
      <c r="Y28" s="22">
        <v>2902506.46</v>
      </c>
      <c r="Z28" s="21" t="s">
        <v>6</v>
      </c>
      <c r="AA28" s="57">
        <v>7.4</v>
      </c>
      <c r="AB28" s="58">
        <v>14910.9608108108</v>
      </c>
      <c r="AC28" s="3">
        <v>110341.10999999993</v>
      </c>
      <c r="AD28" s="22">
        <v>132409.32999999999</v>
      </c>
    </row>
    <row r="29" spans="1:30" s="4" customFormat="1" ht="40.15" customHeight="1" thickBot="1" x14ac:dyDescent="0.25">
      <c r="A29" s="23" t="s">
        <v>7</v>
      </c>
      <c r="B29" s="51">
        <v>0</v>
      </c>
      <c r="C29" s="24">
        <v>0</v>
      </c>
      <c r="D29" s="24">
        <v>0</v>
      </c>
      <c r="E29" s="25">
        <v>0</v>
      </c>
      <c r="F29" s="23" t="s">
        <v>7</v>
      </c>
      <c r="G29" s="51">
        <v>52.800000000000018</v>
      </c>
      <c r="H29" s="24">
        <v>10711.784678030301</v>
      </c>
      <c r="I29" s="24">
        <v>565582.23100000003</v>
      </c>
      <c r="J29" s="25">
        <v>678698.68099999998</v>
      </c>
      <c r="K29" s="23" t="s">
        <v>7</v>
      </c>
      <c r="L29" s="59">
        <v>88.3</v>
      </c>
      <c r="M29" s="60">
        <v>10928.729331823301</v>
      </c>
      <c r="N29" s="24">
        <v>965006.79999999737</v>
      </c>
      <c r="O29" s="25">
        <v>1158008.1599999974</v>
      </c>
      <c r="P29" s="23" t="s">
        <v>7</v>
      </c>
      <c r="Q29" s="59">
        <v>52.300000000000018</v>
      </c>
      <c r="R29" s="60">
        <v>11542.3701720841</v>
      </c>
      <c r="S29" s="24">
        <v>603665.95999999868</v>
      </c>
      <c r="T29" s="25">
        <v>724399.14999999874</v>
      </c>
      <c r="U29" s="23" t="s">
        <v>7</v>
      </c>
      <c r="V29" s="59">
        <v>89.9</v>
      </c>
      <c r="W29" s="60">
        <v>12480.0492769744</v>
      </c>
      <c r="X29" s="24">
        <v>1121956.4299999985</v>
      </c>
      <c r="Y29" s="25">
        <v>1346347.72</v>
      </c>
      <c r="Z29" s="23" t="s">
        <v>7</v>
      </c>
      <c r="AA29" s="59">
        <v>301.2</v>
      </c>
      <c r="AB29" s="60">
        <v>13886.6626162019</v>
      </c>
      <c r="AC29" s="24">
        <v>4182662.7800000124</v>
      </c>
      <c r="AD29" s="25">
        <v>5019195.34</v>
      </c>
    </row>
    <row r="30" spans="1:30" s="4" customFormat="1" ht="40.15" customHeight="1" thickBot="1" x14ac:dyDescent="0.25">
      <c r="A30" s="37" t="s">
        <v>14</v>
      </c>
      <c r="B30" s="53">
        <v>231.072</v>
      </c>
      <c r="C30" s="40">
        <v>6382.7611100000004</v>
      </c>
      <c r="D30" s="40">
        <v>1474877.3752099201</v>
      </c>
      <c r="E30" s="41">
        <v>1769852.8552099201</v>
      </c>
      <c r="F30" s="37" t="s">
        <v>14</v>
      </c>
      <c r="G30" s="53">
        <v>128.99600000000001</v>
      </c>
      <c r="H30" s="40">
        <v>9234.5640999999996</v>
      </c>
      <c r="I30" s="40">
        <v>1191221.8306436001</v>
      </c>
      <c r="J30" s="41">
        <v>1429466.2006436</v>
      </c>
      <c r="K30" s="37" t="s">
        <v>14</v>
      </c>
      <c r="L30" s="67">
        <v>63.384</v>
      </c>
      <c r="M30" s="68">
        <v>4768.82557</v>
      </c>
      <c r="N30" s="40">
        <v>302267.23992888001</v>
      </c>
      <c r="O30" s="41">
        <v>362720.68992888002</v>
      </c>
      <c r="P30" s="37" t="s">
        <v>14</v>
      </c>
      <c r="Q30" s="73">
        <v>104.78</v>
      </c>
      <c r="R30" s="74">
        <v>6911.2939500000002</v>
      </c>
      <c r="S30" s="40">
        <v>724165.38008100004</v>
      </c>
      <c r="T30" s="41">
        <v>868998.460081</v>
      </c>
      <c r="U30" s="37" t="s">
        <v>14</v>
      </c>
      <c r="V30" s="73">
        <v>72.256</v>
      </c>
      <c r="W30" s="74">
        <v>7947.0038500000001</v>
      </c>
      <c r="X30" s="40">
        <v>574218.71018559998</v>
      </c>
      <c r="Y30" s="41">
        <v>689062.45</v>
      </c>
      <c r="Z30" s="37" t="s">
        <v>14</v>
      </c>
      <c r="AA30" s="73">
        <v>53.524000000000001</v>
      </c>
      <c r="AB30" s="74">
        <v>9421.8221699999995</v>
      </c>
      <c r="AC30" s="40">
        <v>504293.60982707998</v>
      </c>
      <c r="AD30" s="41">
        <v>605152.32999999996</v>
      </c>
    </row>
    <row r="31" spans="1:30" s="11" customFormat="1" ht="40.15" customHeight="1" thickBot="1" x14ac:dyDescent="0.35">
      <c r="A31" s="12" t="s">
        <v>1</v>
      </c>
      <c r="B31" s="54">
        <v>-64.351999999999975</v>
      </c>
      <c r="C31" s="13">
        <v>1379.9229260051989</v>
      </c>
      <c r="D31" s="13">
        <v>-3081.0924585598987</v>
      </c>
      <c r="E31" s="14">
        <v>-3697.3024585598614</v>
      </c>
      <c r="F31" s="12" t="s">
        <v>1</v>
      </c>
      <c r="G31" s="54">
        <v>-64.09600000000006</v>
      </c>
      <c r="H31" s="13">
        <v>5990.6384571891685</v>
      </c>
      <c r="I31" s="13">
        <v>1048806.7377899601</v>
      </c>
      <c r="J31" s="14">
        <v>1258568.0977899597</v>
      </c>
      <c r="K31" s="12" t="s">
        <v>1</v>
      </c>
      <c r="L31" s="54">
        <v>-62.687999999999988</v>
      </c>
      <c r="M31" s="13">
        <v>7106.271927705654</v>
      </c>
      <c r="N31" s="13">
        <v>1858503.3494659199</v>
      </c>
      <c r="O31" s="14">
        <v>2230204.0294659203</v>
      </c>
      <c r="P31" s="12" t="s">
        <v>1</v>
      </c>
      <c r="Q31" s="54">
        <v>-66.41599999999994</v>
      </c>
      <c r="R31" s="13">
        <v>5544.9280847485934</v>
      </c>
      <c r="S31" s="13">
        <v>1258807.4802241963</v>
      </c>
      <c r="T31" s="14">
        <v>1510568.9802241959</v>
      </c>
      <c r="U31" s="12" t="s">
        <v>1</v>
      </c>
      <c r="V31" s="54">
        <v>-76.959999999999923</v>
      </c>
      <c r="W31" s="13">
        <v>5149.9183038647416</v>
      </c>
      <c r="X31" s="13">
        <v>1266487.7597306329</v>
      </c>
      <c r="Y31" s="14">
        <v>1519785.3199999998</v>
      </c>
      <c r="Z31" s="12" t="s">
        <v>1</v>
      </c>
      <c r="AA31" s="54">
        <v>-60.672000000000082</v>
      </c>
      <c r="AB31" s="13">
        <v>6266.0127128278882</v>
      </c>
      <c r="AC31" s="13">
        <v>1845482.7701061303</v>
      </c>
      <c r="AD31" s="14">
        <v>2214579.33</v>
      </c>
    </row>
  </sheetData>
  <mergeCells count="12">
    <mergeCell ref="A1:E1"/>
    <mergeCell ref="A17:E17"/>
    <mergeCell ref="F1:J1"/>
    <mergeCell ref="F17:J17"/>
    <mergeCell ref="U1:Y1"/>
    <mergeCell ref="U17:Y17"/>
    <mergeCell ref="Z1:AD1"/>
    <mergeCell ref="Z17:AD17"/>
    <mergeCell ref="K1:O1"/>
    <mergeCell ref="K17:O17"/>
    <mergeCell ref="P1:T1"/>
    <mergeCell ref="P17:T17"/>
  </mergeCells>
  <printOptions horizontalCentered="1"/>
  <pageMargins left="0.19685039370078741" right="0.19685039370078741" top="0.39370078740157483" bottom="0.19685039370078741" header="0" footer="0"/>
  <pageSetup paperSize="9" scale="19" fitToHeight="2" orientation="landscape" r:id="rId1"/>
  <rowBreaks count="1" manualBreakCount="1">
    <brk id="16" max="29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86249-58B2-4E02-85C0-4F356397510D}">
  <sheetPr>
    <tabColor theme="4" tint="-0.499984740745262"/>
    <pageSetUpPr fitToPage="1"/>
  </sheetPr>
  <dimension ref="A1:H35"/>
  <sheetViews>
    <sheetView tabSelected="1" view="pageBreakPreview" zoomScaleNormal="100" zoomScaleSheetLayoutView="100" workbookViewId="0">
      <selection activeCell="B35" sqref="B35"/>
    </sheetView>
  </sheetViews>
  <sheetFormatPr defaultColWidth="8.85546875" defaultRowHeight="12.75" outlineLevelRow="1" x14ac:dyDescent="0.2"/>
  <cols>
    <col min="1" max="1" width="45.28515625" style="1" customWidth="1"/>
    <col min="2" max="2" width="14.7109375" style="55" customWidth="1"/>
    <col min="3" max="3" width="22.28515625" style="1" customWidth="1"/>
    <col min="4" max="4" width="22" style="1" customWidth="1"/>
    <col min="5" max="5" width="23.28515625" style="1" customWidth="1"/>
    <col min="6" max="6" width="19.140625" style="30" bestFit="1" customWidth="1"/>
    <col min="7" max="7" width="8.85546875" style="1"/>
    <col min="8" max="8" width="10.42578125" style="1" bestFit="1" customWidth="1"/>
    <col min="9" max="16384" width="8.85546875" style="1"/>
  </cols>
  <sheetData>
    <row r="1" spans="1:6" s="29" customFormat="1" ht="105" customHeight="1" x14ac:dyDescent="0.2">
      <c r="A1" s="118" t="s">
        <v>39</v>
      </c>
      <c r="B1" s="118"/>
      <c r="C1" s="118"/>
      <c r="D1" s="118"/>
      <c r="E1" s="118"/>
      <c r="F1" s="109"/>
    </row>
    <row r="2" spans="1:6" ht="13.5" thickBot="1" x14ac:dyDescent="0.25"/>
    <row r="3" spans="1:6" s="2" customFormat="1" ht="59.45" customHeight="1" thickBot="1" x14ac:dyDescent="0.35">
      <c r="A3" s="26" t="s">
        <v>4</v>
      </c>
      <c r="B3" s="56" t="s">
        <v>15</v>
      </c>
      <c r="C3" s="27" t="s">
        <v>33</v>
      </c>
      <c r="D3" s="27" t="s">
        <v>8</v>
      </c>
      <c r="E3" s="28" t="s">
        <v>9</v>
      </c>
      <c r="F3" s="43"/>
    </row>
    <row r="4" spans="1:6" s="8" customFormat="1" ht="40.15" customHeight="1" x14ac:dyDescent="0.2">
      <c r="A4" s="15" t="s">
        <v>2</v>
      </c>
      <c r="B4" s="48">
        <f>SUM(B6:B10)</f>
        <v>300.10000000000002</v>
      </c>
      <c r="C4" s="16">
        <f>IF(ISERROR(D4/B4),0,D4/B4)</f>
        <v>3999.0003332222591</v>
      </c>
      <c r="D4" s="16">
        <f t="shared" ref="D4:E4" si="0">SUM(D6:D10)</f>
        <v>1200100</v>
      </c>
      <c r="E4" s="17">
        <f t="shared" si="0"/>
        <v>1440120</v>
      </c>
      <c r="F4" s="110"/>
    </row>
    <row r="5" spans="1:6" s="9" customFormat="1" ht="20.25" x14ac:dyDescent="0.2">
      <c r="A5" s="18" t="s">
        <v>5</v>
      </c>
      <c r="B5" s="49"/>
      <c r="C5" s="19"/>
      <c r="D5" s="19"/>
      <c r="E5" s="20"/>
      <c r="F5" s="110"/>
    </row>
    <row r="6" spans="1:6" s="4" customFormat="1" ht="40.15" hidden="1" customHeight="1" outlineLevel="1" x14ac:dyDescent="0.2">
      <c r="A6" s="21" t="s">
        <v>16</v>
      </c>
      <c r="B6" s="107"/>
      <c r="C6" s="108"/>
      <c r="D6" s="3">
        <f>B6*C6</f>
        <v>0</v>
      </c>
      <c r="E6" s="22">
        <f>ROUND((D6*20%),2)+D6</f>
        <v>0</v>
      </c>
      <c r="F6" s="46"/>
    </row>
    <row r="7" spans="1:6" s="4" customFormat="1" ht="40.15" customHeight="1" collapsed="1" x14ac:dyDescent="0.2">
      <c r="A7" s="21" t="s">
        <v>6</v>
      </c>
      <c r="B7" s="57">
        <v>0</v>
      </c>
      <c r="C7" s="58">
        <v>0</v>
      </c>
      <c r="D7" s="3">
        <f>B7*C7</f>
        <v>0</v>
      </c>
      <c r="E7" s="22">
        <f>ROUND((ROUND((D7*20%),2)+D7),2)</f>
        <v>0</v>
      </c>
      <c r="F7" s="46"/>
    </row>
    <row r="8" spans="1:6" s="4" customFormat="1" ht="40.15" customHeight="1" x14ac:dyDescent="0.2">
      <c r="A8" s="21" t="s">
        <v>7</v>
      </c>
      <c r="B8" s="57">
        <v>100.1</v>
      </c>
      <c r="C8" s="58">
        <v>1000</v>
      </c>
      <c r="D8" s="3">
        <f>B8*C8</f>
        <v>100100</v>
      </c>
      <c r="E8" s="22">
        <f>ROUND((ROUND((D8*20%),2)+D8),2)</f>
        <v>120120</v>
      </c>
      <c r="F8" s="46"/>
    </row>
    <row r="9" spans="1:6" s="4" customFormat="1" ht="40.15" customHeight="1" x14ac:dyDescent="0.2">
      <c r="A9" s="21" t="s">
        <v>36</v>
      </c>
      <c r="B9" s="115">
        <v>100</v>
      </c>
      <c r="C9" s="116">
        <v>10000</v>
      </c>
      <c r="D9" s="3">
        <f>B9*C9</f>
        <v>1000000</v>
      </c>
      <c r="E9" s="22">
        <f>ROUND((ROUND((D9*20%),2)+D9),2)</f>
        <v>1200000</v>
      </c>
      <c r="F9" s="46"/>
    </row>
    <row r="10" spans="1:6" s="4" customFormat="1" ht="40.15" customHeight="1" thickBot="1" x14ac:dyDescent="0.25">
      <c r="A10" s="23" t="s">
        <v>14</v>
      </c>
      <c r="B10" s="99">
        <v>100</v>
      </c>
      <c r="C10" s="101">
        <v>1000</v>
      </c>
      <c r="D10" s="24">
        <f>B10*C10</f>
        <v>100000</v>
      </c>
      <c r="E10" s="25">
        <f>ROUND((ROUND((D10*20%),2)+D10),2)</f>
        <v>120000</v>
      </c>
      <c r="F10" s="46"/>
    </row>
    <row r="11" spans="1:6" s="8" customFormat="1" ht="40.15" customHeight="1" x14ac:dyDescent="0.2">
      <c r="A11" s="15" t="s">
        <v>3</v>
      </c>
      <c r="B11" s="63">
        <f>SUM(B13:B16)</f>
        <v>300</v>
      </c>
      <c r="C11" s="64">
        <f>IF(ISERROR(D11/B11),0,D11/B11)</f>
        <v>100</v>
      </c>
      <c r="D11" s="16">
        <f t="shared" ref="D11:E11" si="1">SUM(D13:D16)</f>
        <v>30000</v>
      </c>
      <c r="E11" s="17">
        <f t="shared" si="1"/>
        <v>36000</v>
      </c>
      <c r="F11" s="110"/>
    </row>
    <row r="12" spans="1:6" s="9" customFormat="1" ht="20.25" x14ac:dyDescent="0.2">
      <c r="A12" s="18" t="s">
        <v>5</v>
      </c>
      <c r="B12" s="65"/>
      <c r="C12" s="66"/>
      <c r="D12" s="19"/>
      <c r="E12" s="20"/>
      <c r="F12" s="110"/>
    </row>
    <row r="13" spans="1:6" s="4" customFormat="1" ht="40.15" customHeight="1" x14ac:dyDescent="0.2">
      <c r="A13" s="21" t="s">
        <v>6</v>
      </c>
      <c r="B13" s="57">
        <v>100</v>
      </c>
      <c r="C13" s="58">
        <v>100</v>
      </c>
      <c r="D13" s="3">
        <f>B13*C13</f>
        <v>10000</v>
      </c>
      <c r="E13" s="22">
        <f>ROUND((ROUND((D13*20%),2)+D13),2)</f>
        <v>12000</v>
      </c>
      <c r="F13" s="46"/>
    </row>
    <row r="14" spans="1:6" s="4" customFormat="1" ht="40.15" customHeight="1" x14ac:dyDescent="0.2">
      <c r="A14" s="21" t="s">
        <v>7</v>
      </c>
      <c r="B14" s="57">
        <v>100</v>
      </c>
      <c r="C14" s="58">
        <v>100</v>
      </c>
      <c r="D14" s="3">
        <f>B14*C14</f>
        <v>10000</v>
      </c>
      <c r="E14" s="22">
        <f>ROUND((ROUND((D14*20%),2)+D14),2)</f>
        <v>12000</v>
      </c>
      <c r="F14" s="46"/>
    </row>
    <row r="15" spans="1:6" s="4" customFormat="1" ht="40.15" hidden="1" customHeight="1" outlineLevel="1" x14ac:dyDescent="0.2">
      <c r="A15" s="21" t="s">
        <v>37</v>
      </c>
      <c r="B15" s="107"/>
      <c r="C15" s="108"/>
      <c r="D15" s="3">
        <f>B15*C15</f>
        <v>0</v>
      </c>
      <c r="E15" s="22">
        <f>ROUND((ROUND((D15*20%),2)+D15),2)</f>
        <v>0</v>
      </c>
      <c r="F15" s="46"/>
    </row>
    <row r="16" spans="1:6" s="4" customFormat="1" ht="40.15" customHeight="1" collapsed="1" thickBot="1" x14ac:dyDescent="0.25">
      <c r="A16" s="23" t="s">
        <v>14</v>
      </c>
      <c r="B16" s="99">
        <v>100</v>
      </c>
      <c r="C16" s="101">
        <v>100</v>
      </c>
      <c r="D16" s="24">
        <f>B16*C16</f>
        <v>10000</v>
      </c>
      <c r="E16" s="25">
        <f>ROUND((ROUND((D16*20%),2)+D16),2)</f>
        <v>12000</v>
      </c>
      <c r="F16" s="111"/>
    </row>
    <row r="17" spans="1:8" s="11" customFormat="1" ht="40.15" customHeight="1" thickBot="1" x14ac:dyDescent="0.35">
      <c r="A17" s="12" t="s">
        <v>1</v>
      </c>
      <c r="B17" s="54">
        <f>B11-B4</f>
        <v>-0.10000000000002274</v>
      </c>
      <c r="C17" s="13">
        <f>C11-C4</f>
        <v>-3899.0003332222591</v>
      </c>
      <c r="D17" s="13">
        <f>D11-D4</f>
        <v>-1170100</v>
      </c>
      <c r="E17" s="14">
        <f>E11-E4</f>
        <v>-1404120</v>
      </c>
      <c r="F17" s="111"/>
      <c r="H17" s="80"/>
    </row>
    <row r="19" spans="1:8" s="29" customFormat="1" ht="105" customHeight="1" x14ac:dyDescent="0.2">
      <c r="A19" s="118" t="s">
        <v>40</v>
      </c>
      <c r="B19" s="118"/>
      <c r="C19" s="118"/>
      <c r="D19" s="118"/>
      <c r="E19" s="118"/>
      <c r="F19" s="109"/>
    </row>
    <row r="20" spans="1:8" ht="13.5" thickBot="1" x14ac:dyDescent="0.25"/>
    <row r="21" spans="1:8" s="2" customFormat="1" ht="59.45" customHeight="1" thickBot="1" x14ac:dyDescent="0.35">
      <c r="A21" s="26" t="s">
        <v>4</v>
      </c>
      <c r="B21" s="56" t="s">
        <v>15</v>
      </c>
      <c r="C21" s="27" t="s">
        <v>33</v>
      </c>
      <c r="D21" s="27" t="s">
        <v>8</v>
      </c>
      <c r="E21" s="28" t="s">
        <v>9</v>
      </c>
      <c r="F21" s="43"/>
    </row>
    <row r="22" spans="1:8" s="8" customFormat="1" ht="40.15" customHeight="1" x14ac:dyDescent="0.2">
      <c r="A22" s="15" t="s">
        <v>2</v>
      </c>
      <c r="B22" s="48">
        <f>SUM(B24:B28)</f>
        <v>311.01400000000001</v>
      </c>
      <c r="C22" s="16">
        <f>IF(ISERROR(D22/B22),0,D22/B22)</f>
        <v>100</v>
      </c>
      <c r="D22" s="16">
        <f t="shared" ref="D22:E22" si="2">SUM(D24:D28)</f>
        <v>31101.4</v>
      </c>
      <c r="E22" s="17">
        <f t="shared" si="2"/>
        <v>37321.68</v>
      </c>
      <c r="F22" s="110"/>
    </row>
    <row r="23" spans="1:8" s="9" customFormat="1" ht="20.25" x14ac:dyDescent="0.2">
      <c r="A23" s="18" t="s">
        <v>5</v>
      </c>
      <c r="B23" s="49"/>
      <c r="C23" s="19"/>
      <c r="D23" s="19"/>
      <c r="E23" s="20"/>
      <c r="F23" s="110"/>
    </row>
    <row r="24" spans="1:8" s="4" customFormat="1" ht="40.15" hidden="1" customHeight="1" outlineLevel="1" x14ac:dyDescent="0.2">
      <c r="A24" s="21" t="s">
        <v>16</v>
      </c>
      <c r="B24" s="50">
        <v>0</v>
      </c>
      <c r="C24" s="3">
        <v>0</v>
      </c>
      <c r="D24" s="3">
        <f>B24*C24</f>
        <v>0</v>
      </c>
      <c r="E24" s="22">
        <f>ROUND((D24*20%),2)+D24</f>
        <v>0</v>
      </c>
      <c r="F24" s="46"/>
    </row>
    <row r="25" spans="1:8" s="4" customFormat="1" ht="40.15" customHeight="1" collapsed="1" x14ac:dyDescent="0.2">
      <c r="A25" s="21" t="s">
        <v>6</v>
      </c>
      <c r="B25" s="57">
        <v>0</v>
      </c>
      <c r="C25" s="58">
        <v>0</v>
      </c>
      <c r="D25" s="3">
        <f>B25*C25</f>
        <v>0</v>
      </c>
      <c r="E25" s="22">
        <f>ROUND((ROUND((D25*20%),2)+D25),2)</f>
        <v>0</v>
      </c>
      <c r="F25" s="46"/>
    </row>
    <row r="26" spans="1:8" s="4" customFormat="1" ht="40.15" customHeight="1" x14ac:dyDescent="0.2">
      <c r="A26" s="21" t="s">
        <v>7</v>
      </c>
      <c r="B26" s="57">
        <v>100</v>
      </c>
      <c r="C26" s="58">
        <v>100</v>
      </c>
      <c r="D26" s="3">
        <f>B26*C26</f>
        <v>10000</v>
      </c>
      <c r="E26" s="22">
        <f>ROUND((ROUND((D26*20%),2)+D26),2)</f>
        <v>12000</v>
      </c>
      <c r="F26" s="46"/>
    </row>
    <row r="27" spans="1:8" s="4" customFormat="1" ht="40.15" customHeight="1" x14ac:dyDescent="0.2">
      <c r="A27" s="21" t="s">
        <v>36</v>
      </c>
      <c r="B27" s="115">
        <v>100</v>
      </c>
      <c r="C27" s="116">
        <v>100</v>
      </c>
      <c r="D27" s="3">
        <f>B27*C27</f>
        <v>10000</v>
      </c>
      <c r="E27" s="22">
        <f>ROUND((ROUND((D27*20%),2)+D27),2)</f>
        <v>12000</v>
      </c>
      <c r="F27" s="46"/>
    </row>
    <row r="28" spans="1:8" s="4" customFormat="1" ht="40.15" customHeight="1" thickBot="1" x14ac:dyDescent="0.25">
      <c r="A28" s="23" t="s">
        <v>14</v>
      </c>
      <c r="B28" s="99">
        <v>111.014</v>
      </c>
      <c r="C28" s="101">
        <v>100</v>
      </c>
      <c r="D28" s="24">
        <f>B28*C28</f>
        <v>11101.4</v>
      </c>
      <c r="E28" s="25">
        <f>ROUND((ROUND((D28*20%),2)+D28),2)</f>
        <v>13321.68</v>
      </c>
      <c r="F28" s="46"/>
    </row>
    <row r="29" spans="1:8" s="8" customFormat="1" ht="40.15" customHeight="1" x14ac:dyDescent="0.2">
      <c r="A29" s="15" t="s">
        <v>3</v>
      </c>
      <c r="B29" s="63">
        <f>SUM(B31:B34)</f>
        <v>300</v>
      </c>
      <c r="C29" s="64">
        <f>IF(ISERROR(D29/B29),0,D29/B29)</f>
        <v>700</v>
      </c>
      <c r="D29" s="16">
        <f t="shared" ref="D29:E29" si="3">SUM(D31:D34)</f>
        <v>210000</v>
      </c>
      <c r="E29" s="17">
        <f t="shared" si="3"/>
        <v>252000</v>
      </c>
      <c r="F29" s="110"/>
    </row>
    <row r="30" spans="1:8" s="9" customFormat="1" ht="20.25" x14ac:dyDescent="0.2">
      <c r="A30" s="18" t="s">
        <v>5</v>
      </c>
      <c r="B30" s="65"/>
      <c r="C30" s="66"/>
      <c r="D30" s="19"/>
      <c r="E30" s="20"/>
      <c r="F30" s="110"/>
    </row>
    <row r="31" spans="1:8" s="4" customFormat="1" ht="40.15" customHeight="1" x14ac:dyDescent="0.2">
      <c r="A31" s="21" t="s">
        <v>6</v>
      </c>
      <c r="B31" s="57">
        <v>100</v>
      </c>
      <c r="C31" s="58">
        <v>100</v>
      </c>
      <c r="D31" s="3">
        <f>B31*C31</f>
        <v>10000</v>
      </c>
      <c r="E31" s="22">
        <f>ROUND((ROUND((D31*20%),2)+D31),2)</f>
        <v>12000</v>
      </c>
      <c r="F31" s="46"/>
    </row>
    <row r="32" spans="1:8" s="4" customFormat="1" ht="40.15" customHeight="1" x14ac:dyDescent="0.2">
      <c r="A32" s="21" t="s">
        <v>7</v>
      </c>
      <c r="B32" s="57">
        <v>100</v>
      </c>
      <c r="C32" s="58">
        <v>1000</v>
      </c>
      <c r="D32" s="3">
        <f>B32*C32</f>
        <v>100000</v>
      </c>
      <c r="E32" s="22">
        <f>ROUND((ROUND((D32*20%),2)+D32),2)</f>
        <v>120000</v>
      </c>
      <c r="F32" s="46"/>
    </row>
    <row r="33" spans="1:6" s="4" customFormat="1" ht="40.15" hidden="1" customHeight="1" outlineLevel="1" x14ac:dyDescent="0.2">
      <c r="A33" s="21" t="s">
        <v>37</v>
      </c>
      <c r="B33" s="107"/>
      <c r="C33" s="108"/>
      <c r="D33" s="3">
        <f>B33*C33</f>
        <v>0</v>
      </c>
      <c r="E33" s="22">
        <f>ROUND((ROUND((D33*20%),2)+D33),2)</f>
        <v>0</v>
      </c>
      <c r="F33" s="46"/>
    </row>
    <row r="34" spans="1:6" s="4" customFormat="1" ht="40.15" customHeight="1" collapsed="1" thickBot="1" x14ac:dyDescent="0.25">
      <c r="A34" s="23" t="s">
        <v>14</v>
      </c>
      <c r="B34" s="99">
        <v>100</v>
      </c>
      <c r="C34" s="101">
        <v>1000</v>
      </c>
      <c r="D34" s="24">
        <f>B34*C34</f>
        <v>100000</v>
      </c>
      <c r="E34" s="25">
        <f>ROUND((ROUND((D34*20%),2)+D34),2)</f>
        <v>120000</v>
      </c>
      <c r="F34" s="46"/>
    </row>
    <row r="35" spans="1:6" s="11" customFormat="1" ht="40.15" customHeight="1" thickBot="1" x14ac:dyDescent="0.35">
      <c r="A35" s="12" t="s">
        <v>1</v>
      </c>
      <c r="B35" s="54">
        <f>B29-B22</f>
        <v>-11.01400000000001</v>
      </c>
      <c r="C35" s="13">
        <f>C29-C22</f>
        <v>600</v>
      </c>
      <c r="D35" s="13">
        <f>D29-D22</f>
        <v>178898.6</v>
      </c>
      <c r="E35" s="14">
        <f>E29-E22</f>
        <v>214678.32</v>
      </c>
      <c r="F35" s="111"/>
    </row>
  </sheetData>
  <mergeCells count="2">
    <mergeCell ref="A1:E1"/>
    <mergeCell ref="A19:E19"/>
  </mergeCells>
  <printOptions horizontalCentered="1"/>
  <pageMargins left="0.19685039370078741" right="0.19685039370078741" top="0.39370078740157483" bottom="0.19685039370078741" header="0" footer="0"/>
  <pageSetup paperSize="9" scale="89" fitToHeight="2" orientation="landscape" r:id="rId1"/>
  <rowBreaks count="1" manualBreakCount="1">
    <brk id="18" max="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9D526-57A7-4578-BF85-BEAB7660F453}">
  <sheetPr>
    <tabColor theme="4" tint="-0.499984740745262"/>
    <pageSetUpPr fitToPage="1"/>
  </sheetPr>
  <dimension ref="A1:J30"/>
  <sheetViews>
    <sheetView view="pageBreakPreview" topLeftCell="A7" zoomScaleNormal="100" zoomScaleSheetLayoutView="100" workbookViewId="0">
      <selection activeCell="A16" sqref="A16:E16"/>
    </sheetView>
  </sheetViews>
  <sheetFormatPr defaultColWidth="8.85546875" defaultRowHeight="12.75" outlineLevelRow="1" outlineLevelCol="1" x14ac:dyDescent="0.2"/>
  <cols>
    <col min="1" max="1" width="45.28515625" style="1" customWidth="1"/>
    <col min="2" max="2" width="14.7109375" style="55" customWidth="1"/>
    <col min="3" max="3" width="22.28515625" style="1" customWidth="1"/>
    <col min="4" max="4" width="22" style="1" customWidth="1"/>
    <col min="5" max="5" width="23.28515625" style="1" customWidth="1"/>
    <col min="6" max="6" width="19.140625" style="30" bestFit="1" customWidth="1"/>
    <col min="7" max="7" width="18.28515625" style="1" hidden="1" customWidth="1" outlineLevel="1"/>
    <col min="8" max="8" width="15.28515625" style="1" hidden="1" customWidth="1" outlineLevel="1"/>
    <col min="9" max="9" width="8.85546875" style="1" collapsed="1"/>
    <col min="10" max="10" width="10.42578125" style="1" bestFit="1" customWidth="1"/>
    <col min="11" max="16384" width="8.85546875" style="1"/>
  </cols>
  <sheetData>
    <row r="1" spans="1:10" s="29" customFormat="1" ht="105" customHeight="1" x14ac:dyDescent="0.2">
      <c r="A1" s="118" t="s">
        <v>39</v>
      </c>
      <c r="B1" s="118"/>
      <c r="C1" s="118"/>
      <c r="D1" s="118"/>
      <c r="E1" s="118"/>
      <c r="F1" s="109"/>
    </row>
    <row r="2" spans="1:10" ht="13.5" thickBot="1" x14ac:dyDescent="0.25"/>
    <row r="3" spans="1:10" s="2" customFormat="1" ht="59.45" customHeight="1" thickBot="1" x14ac:dyDescent="0.35">
      <c r="A3" s="26" t="s">
        <v>4</v>
      </c>
      <c r="B3" s="56" t="s">
        <v>15</v>
      </c>
      <c r="C3" s="27" t="s">
        <v>33</v>
      </c>
      <c r="D3" s="27" t="s">
        <v>8</v>
      </c>
      <c r="E3" s="28" t="s">
        <v>9</v>
      </c>
      <c r="F3" s="43"/>
      <c r="G3" s="100" t="s">
        <v>38</v>
      </c>
    </row>
    <row r="4" spans="1:10" s="8" customFormat="1" ht="40.15" customHeight="1" x14ac:dyDescent="0.2">
      <c r="A4" s="15" t="s">
        <v>2</v>
      </c>
      <c r="B4" s="48">
        <f>SUM(B6:B8)</f>
        <v>219.09999999999997</v>
      </c>
      <c r="C4" s="16">
        <f>IF(ISERROR(D4/B4),0,D4/B4)</f>
        <v>1286.1124600639</v>
      </c>
      <c r="D4" s="16">
        <f>SUM(D6:D8)</f>
        <v>281787.24000000046</v>
      </c>
      <c r="E4" s="17">
        <f>SUM(E6:E8)</f>
        <v>338144.69</v>
      </c>
      <c r="F4" s="110"/>
      <c r="G4" s="48">
        <f>SUM(G6:G8)</f>
        <v>219.09999999999997</v>
      </c>
    </row>
    <row r="5" spans="1:10" s="9" customFormat="1" ht="20.25" x14ac:dyDescent="0.2">
      <c r="A5" s="18" t="s">
        <v>5</v>
      </c>
      <c r="B5" s="49"/>
      <c r="C5" s="19"/>
      <c r="D5" s="19"/>
      <c r="E5" s="20"/>
      <c r="F5" s="110"/>
      <c r="G5" s="44"/>
    </row>
    <row r="6" spans="1:10" s="4" customFormat="1" ht="40.15" hidden="1" customHeight="1" outlineLevel="1" x14ac:dyDescent="0.2">
      <c r="A6" s="21" t="s">
        <v>16</v>
      </c>
      <c r="B6" s="107"/>
      <c r="C6" s="108"/>
      <c r="D6" s="3">
        <f>B6*C6</f>
        <v>0</v>
      </c>
      <c r="E6" s="22">
        <f>ROUND((D6*20%),2)+D6</f>
        <v>0</v>
      </c>
      <c r="F6" s="46"/>
      <c r="G6" s="44"/>
    </row>
    <row r="7" spans="1:10" s="4" customFormat="1" ht="40.15" customHeight="1" collapsed="1" x14ac:dyDescent="0.2">
      <c r="A7" s="21" t="s">
        <v>6</v>
      </c>
      <c r="B7" s="57">
        <v>0</v>
      </c>
      <c r="C7" s="58">
        <v>0</v>
      </c>
      <c r="D7" s="3">
        <f>B7*C7</f>
        <v>0</v>
      </c>
      <c r="E7" s="22">
        <f>ROUND((ROUND((D7*20%),2)+D7),2)</f>
        <v>0</v>
      </c>
      <c r="F7" s="46"/>
      <c r="G7" s="44">
        <f>B7</f>
        <v>0</v>
      </c>
      <c r="H7" s="46"/>
    </row>
    <row r="8" spans="1:10" s="4" customFormat="1" ht="40.15" customHeight="1" thickBot="1" x14ac:dyDescent="0.25">
      <c r="A8" s="21" t="s">
        <v>7</v>
      </c>
      <c r="B8" s="57">
        <v>219.09999999999997</v>
      </c>
      <c r="C8" s="58">
        <v>1286.1124600639</v>
      </c>
      <c r="D8" s="3">
        <f>B8*C8</f>
        <v>281787.24000000046</v>
      </c>
      <c r="E8" s="22">
        <f>ROUND((ROUND((D8*20%),2)+D8),2)</f>
        <v>338144.69</v>
      </c>
      <c r="F8" s="46"/>
      <c r="G8" s="44">
        <f>B8</f>
        <v>219.09999999999997</v>
      </c>
      <c r="H8" s="46"/>
    </row>
    <row r="9" spans="1:10" s="8" customFormat="1" ht="40.15" customHeight="1" x14ac:dyDescent="0.2">
      <c r="A9" s="15" t="s">
        <v>3</v>
      </c>
      <c r="B9" s="63">
        <f>SUM(B11:B13)</f>
        <v>313.7999999999999</v>
      </c>
      <c r="C9" s="64">
        <f>IF(ISERROR(D9/B9),0,D9/B9)</f>
        <v>10577.361759082236</v>
      </c>
      <c r="D9" s="16">
        <f>SUM(D11:D13)</f>
        <v>3319176.1200000048</v>
      </c>
      <c r="E9" s="17">
        <f>SUM(E11:E13)</f>
        <v>3983011.3499999996</v>
      </c>
      <c r="F9" s="110"/>
      <c r="G9" s="63">
        <f>SUM(G11:G13)</f>
        <v>313.7999999999999</v>
      </c>
      <c r="H9" s="44"/>
    </row>
    <row r="10" spans="1:10" s="9" customFormat="1" ht="20.25" x14ac:dyDescent="0.2">
      <c r="A10" s="18" t="s">
        <v>5</v>
      </c>
      <c r="B10" s="65"/>
      <c r="C10" s="66"/>
      <c r="D10" s="19"/>
      <c r="E10" s="20"/>
      <c r="F10" s="110"/>
      <c r="G10" s="44"/>
      <c r="H10" s="44"/>
    </row>
    <row r="11" spans="1:10" s="4" customFormat="1" ht="40.15" customHeight="1" x14ac:dyDescent="0.2">
      <c r="A11" s="21" t="s">
        <v>6</v>
      </c>
      <c r="B11" s="57">
        <v>177.99999999999991</v>
      </c>
      <c r="C11" s="58">
        <v>12541.3769101124</v>
      </c>
      <c r="D11" s="3">
        <f>B11*C11</f>
        <v>2232365.0900000059</v>
      </c>
      <c r="E11" s="22">
        <f>ROUND((ROUND((D11*20%),2)+D11),2)</f>
        <v>2678838.11</v>
      </c>
      <c r="F11" s="46"/>
      <c r="G11" s="44">
        <f>B11</f>
        <v>177.99999999999991</v>
      </c>
      <c r="H11" s="46"/>
    </row>
    <row r="12" spans="1:10" s="4" customFormat="1" ht="40.15" customHeight="1" thickBot="1" x14ac:dyDescent="0.25">
      <c r="A12" s="21" t="s">
        <v>7</v>
      </c>
      <c r="B12" s="57">
        <v>135.79999999999998</v>
      </c>
      <c r="C12" s="58">
        <v>8003.0267304859999</v>
      </c>
      <c r="D12" s="3">
        <f>B12*C12</f>
        <v>1086811.0299999986</v>
      </c>
      <c r="E12" s="22">
        <f>ROUND((ROUND((D12*20%),2)+D12),2)</f>
        <v>1304173.24</v>
      </c>
      <c r="F12" s="46"/>
      <c r="G12" s="44">
        <f>B12</f>
        <v>135.79999999999998</v>
      </c>
      <c r="H12" s="46"/>
    </row>
    <row r="13" spans="1:10" s="4" customFormat="1" ht="40.15" hidden="1" customHeight="1" outlineLevel="1" x14ac:dyDescent="0.2">
      <c r="A13" s="21" t="s">
        <v>37</v>
      </c>
      <c r="B13" s="107"/>
      <c r="C13" s="108"/>
      <c r="D13" s="3">
        <f>B13*C13</f>
        <v>0</v>
      </c>
      <c r="E13" s="22">
        <f>ROUND((ROUND((D13*20%),2)+D13),2)</f>
        <v>0</v>
      </c>
      <c r="F13" s="46"/>
      <c r="G13" s="44"/>
      <c r="H13" s="46"/>
    </row>
    <row r="14" spans="1:10" s="11" customFormat="1" ht="40.15" customHeight="1" collapsed="1" thickBot="1" x14ac:dyDescent="0.35">
      <c r="A14" s="12" t="s">
        <v>1</v>
      </c>
      <c r="B14" s="54">
        <f>B9-B4</f>
        <v>94.699999999999932</v>
      </c>
      <c r="C14" s="13">
        <f>C9-C4</f>
        <v>9291.2492990183364</v>
      </c>
      <c r="D14" s="13">
        <f>D9-D4</f>
        <v>3037388.8800000045</v>
      </c>
      <c r="E14" s="14">
        <f>E9-E4</f>
        <v>3644866.6599999997</v>
      </c>
      <c r="F14" s="111"/>
      <c r="G14" s="54">
        <f>G9-G4</f>
        <v>94.699999999999932</v>
      </c>
      <c r="J14" s="80"/>
    </row>
    <row r="15" spans="1:10" x14ac:dyDescent="0.2">
      <c r="G15" s="55"/>
    </row>
    <row r="16" spans="1:10" s="29" customFormat="1" ht="105" customHeight="1" x14ac:dyDescent="0.2">
      <c r="A16" s="118" t="s">
        <v>40</v>
      </c>
      <c r="B16" s="118"/>
      <c r="C16" s="118"/>
      <c r="D16" s="118"/>
      <c r="E16" s="118"/>
      <c r="F16" s="109"/>
    </row>
    <row r="17" spans="1:8" ht="13.5" thickBot="1" x14ac:dyDescent="0.25"/>
    <row r="18" spans="1:8" s="2" customFormat="1" ht="59.45" customHeight="1" thickBot="1" x14ac:dyDescent="0.35">
      <c r="A18" s="26" t="s">
        <v>4</v>
      </c>
      <c r="B18" s="56" t="s">
        <v>15</v>
      </c>
      <c r="C18" s="27" t="s">
        <v>33</v>
      </c>
      <c r="D18" s="27" t="s">
        <v>8</v>
      </c>
      <c r="E18" s="28" t="s">
        <v>9</v>
      </c>
      <c r="F18" s="43"/>
    </row>
    <row r="19" spans="1:8" s="8" customFormat="1" ht="40.15" customHeight="1" x14ac:dyDescent="0.2">
      <c r="A19" s="15" t="s">
        <v>2</v>
      </c>
      <c r="B19" s="48">
        <f>SUM(B21:B23)</f>
        <v>296.2000000000001</v>
      </c>
      <c r="C19" s="16">
        <f>IF(ISERROR(D19/B19),0,D19/B19)</f>
        <v>1197.6594868331999</v>
      </c>
      <c r="D19" s="16">
        <f>SUM(D21:D23)</f>
        <v>354746.73999999394</v>
      </c>
      <c r="E19" s="17">
        <f>SUM(E21:E23)</f>
        <v>425696.09</v>
      </c>
      <c r="F19" s="110"/>
      <c r="G19" s="48">
        <f>SUM(G21:G23)</f>
        <v>296.2000000000001</v>
      </c>
    </row>
    <row r="20" spans="1:8" s="9" customFormat="1" ht="20.25" x14ac:dyDescent="0.2">
      <c r="A20" s="18" t="s">
        <v>5</v>
      </c>
      <c r="B20" s="49"/>
      <c r="C20" s="19"/>
      <c r="D20" s="19"/>
      <c r="E20" s="20"/>
      <c r="F20" s="110"/>
      <c r="G20" s="44"/>
    </row>
    <row r="21" spans="1:8" s="4" customFormat="1" ht="40.15" hidden="1" customHeight="1" outlineLevel="1" x14ac:dyDescent="0.2">
      <c r="A21" s="21" t="s">
        <v>16</v>
      </c>
      <c r="B21" s="50">
        <v>0</v>
      </c>
      <c r="C21" s="3">
        <v>0</v>
      </c>
      <c r="D21" s="3">
        <f>B21*C21</f>
        <v>0</v>
      </c>
      <c r="E21" s="22">
        <f>ROUND((D21*20%),2)+D21</f>
        <v>0</v>
      </c>
      <c r="F21" s="46"/>
      <c r="G21" s="44"/>
    </row>
    <row r="22" spans="1:8" s="4" customFormat="1" ht="40.15" customHeight="1" collapsed="1" x14ac:dyDescent="0.2">
      <c r="A22" s="21" t="s">
        <v>6</v>
      </c>
      <c r="B22" s="57">
        <v>0</v>
      </c>
      <c r="C22" s="58">
        <v>0</v>
      </c>
      <c r="D22" s="3">
        <f>B22*C22</f>
        <v>0</v>
      </c>
      <c r="E22" s="22">
        <f>ROUND((ROUND((D22*20%),2)+D22),2)</f>
        <v>0</v>
      </c>
      <c r="F22" s="46"/>
      <c r="G22" s="44">
        <f>B22</f>
        <v>0</v>
      </c>
      <c r="H22" s="46"/>
    </row>
    <row r="23" spans="1:8" s="4" customFormat="1" ht="40.15" customHeight="1" thickBot="1" x14ac:dyDescent="0.25">
      <c r="A23" s="21" t="s">
        <v>7</v>
      </c>
      <c r="B23" s="57">
        <v>296.2000000000001</v>
      </c>
      <c r="C23" s="58">
        <v>1197.6594868331999</v>
      </c>
      <c r="D23" s="3">
        <f>B23*C23</f>
        <v>354746.73999999394</v>
      </c>
      <c r="E23" s="22">
        <f>ROUND((ROUND((D23*20%),2)+D23),2)</f>
        <v>425696.09</v>
      </c>
      <c r="F23" s="46"/>
      <c r="G23" s="44">
        <f>B23</f>
        <v>296.2000000000001</v>
      </c>
      <c r="H23" s="46"/>
    </row>
    <row r="24" spans="1:8" s="8" customFormat="1" ht="40.15" customHeight="1" x14ac:dyDescent="0.2">
      <c r="A24" s="15" t="s">
        <v>3</v>
      </c>
      <c r="B24" s="63">
        <f>SUM(B26:B28)</f>
        <v>382.60000000000014</v>
      </c>
      <c r="C24" s="64">
        <f>IF(ISERROR(D24/B24),0,D24/B24)</f>
        <v>10567.149477260849</v>
      </c>
      <c r="D24" s="16">
        <f>SUM(D26:D28)</f>
        <v>4042991.3900000025</v>
      </c>
      <c r="E24" s="17">
        <f>SUM(E26:E28)</f>
        <v>4851589.67</v>
      </c>
      <c r="F24" s="110"/>
      <c r="G24" s="63">
        <f>SUM(G26:G28)</f>
        <v>382.60000000000014</v>
      </c>
      <c r="H24" s="44"/>
    </row>
    <row r="25" spans="1:8" s="9" customFormat="1" ht="20.25" x14ac:dyDescent="0.2">
      <c r="A25" s="18" t="s">
        <v>5</v>
      </c>
      <c r="B25" s="65"/>
      <c r="C25" s="66"/>
      <c r="D25" s="19"/>
      <c r="E25" s="20"/>
      <c r="F25" s="110"/>
      <c r="G25" s="44"/>
      <c r="H25" s="44"/>
    </row>
    <row r="26" spans="1:8" s="4" customFormat="1" ht="40.15" customHeight="1" x14ac:dyDescent="0.2">
      <c r="A26" s="21" t="s">
        <v>6</v>
      </c>
      <c r="B26" s="57">
        <v>202.40000000000009</v>
      </c>
      <c r="C26" s="58">
        <v>12603.6821146245</v>
      </c>
      <c r="D26" s="3">
        <f>B26*C26</f>
        <v>2550985.2599999998</v>
      </c>
      <c r="E26" s="22">
        <f>ROUND((ROUND((D26*20%),2)+D26),2)</f>
        <v>3061182.31</v>
      </c>
      <c r="F26" s="46"/>
      <c r="G26" s="44">
        <f>B26</f>
        <v>202.40000000000009</v>
      </c>
      <c r="H26" s="46"/>
    </row>
    <row r="27" spans="1:8" s="4" customFormat="1" ht="40.15" customHeight="1" thickBot="1" x14ac:dyDescent="0.25">
      <c r="A27" s="21" t="s">
        <v>7</v>
      </c>
      <c r="B27" s="57">
        <v>180.20000000000002</v>
      </c>
      <c r="C27" s="58">
        <v>8279.7232519422996</v>
      </c>
      <c r="D27" s="3">
        <f>B27*C27</f>
        <v>1492006.1300000024</v>
      </c>
      <c r="E27" s="22">
        <f>ROUND((ROUND((D27*20%),2)+D27),2)</f>
        <v>1790407.36</v>
      </c>
      <c r="F27" s="46"/>
      <c r="G27" s="44">
        <f>B27</f>
        <v>180.20000000000002</v>
      </c>
      <c r="H27" s="46"/>
    </row>
    <row r="28" spans="1:8" s="4" customFormat="1" ht="40.15" hidden="1" customHeight="1" outlineLevel="1" x14ac:dyDescent="0.2">
      <c r="A28" s="21" t="s">
        <v>37</v>
      </c>
      <c r="B28" s="107"/>
      <c r="C28" s="108"/>
      <c r="D28" s="3">
        <f>B28*C28</f>
        <v>0</v>
      </c>
      <c r="E28" s="22">
        <f>ROUND((ROUND((D28*20%),2)+D28),2)</f>
        <v>0</v>
      </c>
      <c r="F28" s="46"/>
      <c r="G28" s="44"/>
      <c r="H28" s="46"/>
    </row>
    <row r="29" spans="1:8" s="11" customFormat="1" ht="40.15" customHeight="1" collapsed="1" thickBot="1" x14ac:dyDescent="0.35">
      <c r="A29" s="12" t="s">
        <v>1</v>
      </c>
      <c r="B29" s="54">
        <f>B24-B19</f>
        <v>86.400000000000034</v>
      </c>
      <c r="C29" s="13">
        <f>C24-C19</f>
        <v>9369.4899904276499</v>
      </c>
      <c r="D29" s="13">
        <f>D24-D19</f>
        <v>3688244.6500000088</v>
      </c>
      <c r="E29" s="14">
        <f>E24-E19</f>
        <v>4425893.58</v>
      </c>
      <c r="F29" s="111"/>
      <c r="G29" s="54">
        <f>G24-G19</f>
        <v>86.400000000000034</v>
      </c>
    </row>
    <row r="30" spans="1:8" ht="22.5" x14ac:dyDescent="0.2">
      <c r="G30" s="47"/>
    </row>
  </sheetData>
  <mergeCells count="2">
    <mergeCell ref="A1:E1"/>
    <mergeCell ref="A16:E16"/>
  </mergeCells>
  <printOptions horizontalCentered="1"/>
  <pageMargins left="0.19685039370078741" right="0.19685039370078741" top="0.39370078740157483" bottom="0.19685039370078741" header="0" footer="0"/>
  <pageSetup paperSize="9" fitToHeight="2" orientation="landscape" r:id="rId1"/>
  <rowBreaks count="1" manualBreakCount="1">
    <brk id="15" max="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39735-AC74-472F-A567-DCCE6517C064}">
  <sheetPr>
    <tabColor theme="4" tint="-0.499984740745262"/>
    <pageSetUpPr fitToPage="1"/>
  </sheetPr>
  <dimension ref="A1:J30"/>
  <sheetViews>
    <sheetView view="pageBreakPreview" zoomScaleNormal="100" zoomScaleSheetLayoutView="100" workbookViewId="0">
      <selection activeCell="A16" sqref="A16:E16"/>
    </sheetView>
  </sheetViews>
  <sheetFormatPr defaultColWidth="8.85546875" defaultRowHeight="12.75" outlineLevelRow="1" outlineLevelCol="1" x14ac:dyDescent="0.2"/>
  <cols>
    <col min="1" max="1" width="45.28515625" style="1" customWidth="1"/>
    <col min="2" max="2" width="14.7109375" style="55" customWidth="1"/>
    <col min="3" max="3" width="22.28515625" style="1" customWidth="1"/>
    <col min="4" max="4" width="22" style="1" customWidth="1"/>
    <col min="5" max="5" width="23.28515625" style="1" customWidth="1"/>
    <col min="6" max="6" width="19.140625" style="30" bestFit="1" customWidth="1"/>
    <col min="7" max="7" width="18.28515625" style="1" hidden="1" customWidth="1" outlineLevel="1"/>
    <col min="8" max="8" width="15.28515625" style="1" hidden="1" customWidth="1" outlineLevel="1"/>
    <col min="9" max="9" width="8.85546875" style="1" collapsed="1"/>
    <col min="10" max="10" width="10.42578125" style="1" bestFit="1" customWidth="1"/>
    <col min="11" max="16384" width="8.85546875" style="1"/>
  </cols>
  <sheetData>
    <row r="1" spans="1:10" s="29" customFormat="1" ht="105" customHeight="1" x14ac:dyDescent="0.2">
      <c r="A1" s="118" t="s">
        <v>42</v>
      </c>
      <c r="B1" s="118"/>
      <c r="C1" s="118"/>
      <c r="D1" s="118"/>
      <c r="E1" s="118"/>
      <c r="F1" s="109"/>
    </row>
    <row r="2" spans="1:10" ht="13.5" thickBot="1" x14ac:dyDescent="0.25"/>
    <row r="3" spans="1:10" s="2" customFormat="1" ht="59.45" customHeight="1" thickBot="1" x14ac:dyDescent="0.35">
      <c r="A3" s="26" t="s">
        <v>4</v>
      </c>
      <c r="B3" s="56" t="s">
        <v>15</v>
      </c>
      <c r="C3" s="27" t="s">
        <v>33</v>
      </c>
      <c r="D3" s="27" t="s">
        <v>8</v>
      </c>
      <c r="E3" s="28" t="s">
        <v>9</v>
      </c>
      <c r="F3" s="43"/>
      <c r="G3" s="100" t="s">
        <v>38</v>
      </c>
    </row>
    <row r="4" spans="1:10" s="8" customFormat="1" ht="40.15" customHeight="1" x14ac:dyDescent="0.2">
      <c r="A4" s="15" t="s">
        <v>2</v>
      </c>
      <c r="B4" s="48">
        <f>SUM(B6:B8)</f>
        <v>41.1</v>
      </c>
      <c r="C4" s="16">
        <f>IF(ISERROR(D4/B4),0,D4/B4)</f>
        <v>1377.1192214112</v>
      </c>
      <c r="D4" s="16">
        <f>SUM(D6:D8)</f>
        <v>56599.600000000319</v>
      </c>
      <c r="E4" s="17">
        <f>SUM(E6:E8)</f>
        <v>67919.520000000004</v>
      </c>
      <c r="F4" s="110"/>
      <c r="G4" s="48">
        <f>SUM(G6:G8)</f>
        <v>41.1</v>
      </c>
    </row>
    <row r="5" spans="1:10" s="9" customFormat="1" ht="20.25" x14ac:dyDescent="0.2">
      <c r="A5" s="18" t="s">
        <v>5</v>
      </c>
      <c r="B5" s="49"/>
      <c r="C5" s="19"/>
      <c r="D5" s="19"/>
      <c r="E5" s="20"/>
      <c r="F5" s="110"/>
      <c r="G5" s="44"/>
    </row>
    <row r="6" spans="1:10" s="4" customFormat="1" ht="40.15" hidden="1" customHeight="1" outlineLevel="1" x14ac:dyDescent="0.2">
      <c r="A6" s="21" t="s">
        <v>16</v>
      </c>
      <c r="B6" s="107"/>
      <c r="C6" s="108"/>
      <c r="D6" s="3">
        <f>B6*C6</f>
        <v>0</v>
      </c>
      <c r="E6" s="22">
        <f>ROUND((D6*20%),2)+D6</f>
        <v>0</v>
      </c>
      <c r="F6" s="46"/>
      <c r="G6" s="44"/>
    </row>
    <row r="7" spans="1:10" s="4" customFormat="1" ht="40.15" customHeight="1" collapsed="1" x14ac:dyDescent="0.2">
      <c r="A7" s="21" t="s">
        <v>6</v>
      </c>
      <c r="B7" s="57">
        <v>0</v>
      </c>
      <c r="C7" s="58">
        <v>0</v>
      </c>
      <c r="D7" s="3">
        <f>B7*C7</f>
        <v>0</v>
      </c>
      <c r="E7" s="22">
        <f>ROUND((ROUND((D7*20%),2)+D7),2)</f>
        <v>0</v>
      </c>
      <c r="F7" s="46"/>
      <c r="G7" s="44">
        <f>B7</f>
        <v>0</v>
      </c>
      <c r="H7" s="46"/>
    </row>
    <row r="8" spans="1:10" s="4" customFormat="1" ht="40.15" customHeight="1" thickBot="1" x14ac:dyDescent="0.25">
      <c r="A8" s="21" t="s">
        <v>7</v>
      </c>
      <c r="B8" s="57">
        <v>41.1</v>
      </c>
      <c r="C8" s="58">
        <f>ROUND(F8/B8,10)</f>
        <v>1377.1192214112</v>
      </c>
      <c r="D8" s="3">
        <f>B8*C8</f>
        <v>56599.600000000319</v>
      </c>
      <c r="E8" s="22">
        <f>ROUND((ROUND((D8*20%),2)+D8),2)</f>
        <v>67919.520000000004</v>
      </c>
      <c r="F8" s="46">
        <v>56599.6</v>
      </c>
      <c r="G8" s="44">
        <f>B8</f>
        <v>41.1</v>
      </c>
      <c r="H8" s="46"/>
    </row>
    <row r="9" spans="1:10" s="8" customFormat="1" ht="40.15" customHeight="1" x14ac:dyDescent="0.2">
      <c r="A9" s="15" t="s">
        <v>3</v>
      </c>
      <c r="B9" s="63">
        <f>SUM(B11:B13)</f>
        <v>46.600000000000009</v>
      </c>
      <c r="C9" s="64">
        <f>IF(ISERROR(D9/B9),0,D9/B9)</f>
        <v>9528.2770386266202</v>
      </c>
      <c r="D9" s="16">
        <f>SUM(D11:D13)</f>
        <v>444017.71000000054</v>
      </c>
      <c r="E9" s="17">
        <f>SUM(E11:E13)</f>
        <v>532821.25</v>
      </c>
      <c r="F9" s="110"/>
      <c r="G9" s="63">
        <f>SUM(G11:G13)</f>
        <v>46.600000000000009</v>
      </c>
      <c r="H9" s="44"/>
    </row>
    <row r="10" spans="1:10" s="9" customFormat="1" ht="20.25" x14ac:dyDescent="0.2">
      <c r="A10" s="18" t="s">
        <v>5</v>
      </c>
      <c r="B10" s="65"/>
      <c r="C10" s="66"/>
      <c r="D10" s="19"/>
      <c r="E10" s="20"/>
      <c r="F10" s="110"/>
      <c r="G10" s="44"/>
      <c r="H10" s="44"/>
    </row>
    <row r="11" spans="1:10" s="4" customFormat="1" ht="40.15" customHeight="1" x14ac:dyDescent="0.2">
      <c r="A11" s="21" t="s">
        <v>6</v>
      </c>
      <c r="B11" s="57">
        <v>20.3</v>
      </c>
      <c r="C11" s="58">
        <f t="shared" ref="C11:C12" si="0">ROUND(F11/B11,10)</f>
        <v>11371.6305418719</v>
      </c>
      <c r="D11" s="3">
        <f>B11*C11</f>
        <v>230844.09999999957</v>
      </c>
      <c r="E11" s="22">
        <f>ROUND((ROUND((D11*20%),2)+D11),2)</f>
        <v>277012.92</v>
      </c>
      <c r="F11" s="46">
        <v>230844.1</v>
      </c>
      <c r="G11" s="44">
        <f>B11</f>
        <v>20.3</v>
      </c>
      <c r="H11" s="46"/>
    </row>
    <row r="12" spans="1:10" s="4" customFormat="1" ht="40.15" customHeight="1" thickBot="1" x14ac:dyDescent="0.25">
      <c r="A12" s="21" t="s">
        <v>7</v>
      </c>
      <c r="B12" s="57">
        <v>26.300000000000004</v>
      </c>
      <c r="C12" s="58">
        <f t="shared" si="0"/>
        <v>8105.4604562738004</v>
      </c>
      <c r="D12" s="3">
        <f>B12*C12</f>
        <v>213173.61000000098</v>
      </c>
      <c r="E12" s="22">
        <f>ROUND((ROUND((D12*20%),2)+D12),2)</f>
        <v>255808.33</v>
      </c>
      <c r="F12" s="46">
        <v>213173.61000000002</v>
      </c>
      <c r="G12" s="44">
        <f>B12</f>
        <v>26.300000000000004</v>
      </c>
      <c r="H12" s="46"/>
    </row>
    <row r="13" spans="1:10" s="4" customFormat="1" ht="40.15" hidden="1" customHeight="1" outlineLevel="1" x14ac:dyDescent="0.2">
      <c r="A13" s="21" t="s">
        <v>37</v>
      </c>
      <c r="B13" s="107"/>
      <c r="C13" s="108"/>
      <c r="D13" s="3">
        <f>B13*C13</f>
        <v>0</v>
      </c>
      <c r="E13" s="22">
        <f>ROUND((ROUND((D13*20%),2)+D13),2)</f>
        <v>0</v>
      </c>
      <c r="F13" s="46"/>
      <c r="G13" s="44"/>
      <c r="H13" s="46"/>
    </row>
    <row r="14" spans="1:10" s="11" customFormat="1" ht="40.15" customHeight="1" collapsed="1" thickBot="1" x14ac:dyDescent="0.35">
      <c r="A14" s="12" t="s">
        <v>1</v>
      </c>
      <c r="B14" s="54">
        <f>B9-B4</f>
        <v>5.5000000000000071</v>
      </c>
      <c r="C14" s="13">
        <f>C9-C4</f>
        <v>8151.1578172154204</v>
      </c>
      <c r="D14" s="13">
        <f>D9-D4</f>
        <v>387418.11000000022</v>
      </c>
      <c r="E14" s="14">
        <f>E9-E4</f>
        <v>464901.73</v>
      </c>
      <c r="F14" s="111"/>
      <c r="G14" s="54">
        <f>G9-G4</f>
        <v>5.5000000000000071</v>
      </c>
      <c r="J14" s="80"/>
    </row>
    <row r="15" spans="1:10" x14ac:dyDescent="0.2">
      <c r="G15" s="55"/>
    </row>
    <row r="16" spans="1:10" s="29" customFormat="1" ht="105" customHeight="1" x14ac:dyDescent="0.2">
      <c r="A16" s="118" t="s">
        <v>41</v>
      </c>
      <c r="B16" s="118"/>
      <c r="C16" s="118"/>
      <c r="D16" s="118"/>
      <c r="E16" s="118"/>
      <c r="F16" s="109"/>
    </row>
    <row r="17" spans="1:8" ht="13.5" thickBot="1" x14ac:dyDescent="0.25"/>
    <row r="18" spans="1:8" s="2" customFormat="1" ht="59.45" customHeight="1" thickBot="1" x14ac:dyDescent="0.35">
      <c r="A18" s="26" t="s">
        <v>4</v>
      </c>
      <c r="B18" s="56" t="s">
        <v>15</v>
      </c>
      <c r="C18" s="27" t="s">
        <v>33</v>
      </c>
      <c r="D18" s="27" t="s">
        <v>8</v>
      </c>
      <c r="E18" s="28" t="s">
        <v>9</v>
      </c>
      <c r="F18" s="43"/>
    </row>
    <row r="19" spans="1:8" s="8" customFormat="1" ht="40.15" customHeight="1" x14ac:dyDescent="0.2">
      <c r="A19" s="15" t="s">
        <v>2</v>
      </c>
      <c r="B19" s="48">
        <f>SUM(B21:B23)</f>
        <v>52.300000000000004</v>
      </c>
      <c r="C19" s="16">
        <f>IF(ISERROR(D19/B19),0,D19/B19)</f>
        <v>977.31166347989995</v>
      </c>
      <c r="D19" s="16">
        <f>SUM(D21:D23)</f>
        <v>51113.399999998772</v>
      </c>
      <c r="E19" s="17">
        <f>SUM(E21:E23)</f>
        <v>61336.08</v>
      </c>
      <c r="F19" s="110"/>
      <c r="G19" s="48">
        <f>SUM(G21:G23)</f>
        <v>52.300000000000004</v>
      </c>
    </row>
    <row r="20" spans="1:8" s="9" customFormat="1" ht="20.25" x14ac:dyDescent="0.2">
      <c r="A20" s="18" t="s">
        <v>5</v>
      </c>
      <c r="B20" s="49"/>
      <c r="C20" s="19"/>
      <c r="D20" s="19"/>
      <c r="E20" s="20"/>
      <c r="F20" s="110"/>
      <c r="G20" s="44"/>
    </row>
    <row r="21" spans="1:8" s="4" customFormat="1" ht="40.15" hidden="1" customHeight="1" outlineLevel="1" x14ac:dyDescent="0.2">
      <c r="A21" s="21" t="s">
        <v>16</v>
      </c>
      <c r="B21" s="50">
        <v>0</v>
      </c>
      <c r="C21" s="3">
        <v>0</v>
      </c>
      <c r="D21" s="3">
        <f>B21*C21</f>
        <v>0</v>
      </c>
      <c r="E21" s="22">
        <f>ROUND((D21*20%),2)+D21</f>
        <v>0</v>
      </c>
      <c r="F21" s="46"/>
      <c r="G21" s="44"/>
    </row>
    <row r="22" spans="1:8" s="4" customFormat="1" ht="40.15" customHeight="1" collapsed="1" x14ac:dyDescent="0.2">
      <c r="A22" s="21" t="s">
        <v>6</v>
      </c>
      <c r="B22" s="57">
        <v>0</v>
      </c>
      <c r="C22" s="58">
        <v>0</v>
      </c>
      <c r="D22" s="3">
        <f>B22*C22</f>
        <v>0</v>
      </c>
      <c r="E22" s="22">
        <f>ROUND((ROUND((D22*20%),2)+D22),2)</f>
        <v>0</v>
      </c>
      <c r="F22" s="46"/>
      <c r="G22" s="44">
        <f>B22</f>
        <v>0</v>
      </c>
      <c r="H22" s="46"/>
    </row>
    <row r="23" spans="1:8" s="4" customFormat="1" ht="40.15" customHeight="1" thickBot="1" x14ac:dyDescent="0.25">
      <c r="A23" s="21" t="s">
        <v>7</v>
      </c>
      <c r="B23" s="57">
        <v>52.300000000000004</v>
      </c>
      <c r="C23" s="58">
        <f t="shared" ref="C23" si="1">ROUND(F23/B23,10)</f>
        <v>977.31166347989995</v>
      </c>
      <c r="D23" s="3">
        <f>B23*C23</f>
        <v>51113.399999998772</v>
      </c>
      <c r="E23" s="22">
        <f>ROUND((ROUND((D23*20%),2)+D23),2)</f>
        <v>61336.08</v>
      </c>
      <c r="F23" s="46">
        <v>51113.399999999994</v>
      </c>
      <c r="G23" s="44">
        <f>B23</f>
        <v>52.300000000000004</v>
      </c>
      <c r="H23" s="46"/>
    </row>
    <row r="24" spans="1:8" s="8" customFormat="1" ht="40.15" customHeight="1" x14ac:dyDescent="0.2">
      <c r="A24" s="15" t="s">
        <v>3</v>
      </c>
      <c r="B24" s="63">
        <f>SUM(B26:B28)</f>
        <v>52.900000000000006</v>
      </c>
      <c r="C24" s="64">
        <f>IF(ISERROR(D24/B24),0,D24/B24)</f>
        <v>9019.0691871455492</v>
      </c>
      <c r="D24" s="16">
        <f>SUM(D26:D28)</f>
        <v>477108.7599999996</v>
      </c>
      <c r="E24" s="17">
        <f>SUM(E26:E28)</f>
        <v>572530.51</v>
      </c>
      <c r="F24" s="110"/>
      <c r="G24" s="63">
        <f>SUM(G26:G28)</f>
        <v>52.900000000000006</v>
      </c>
      <c r="H24" s="44"/>
    </row>
    <row r="25" spans="1:8" s="9" customFormat="1" ht="20.25" x14ac:dyDescent="0.2">
      <c r="A25" s="18" t="s">
        <v>5</v>
      </c>
      <c r="B25" s="65"/>
      <c r="C25" s="66"/>
      <c r="D25" s="19"/>
      <c r="E25" s="20"/>
      <c r="F25" s="110"/>
      <c r="G25" s="44"/>
      <c r="H25" s="44"/>
    </row>
    <row r="26" spans="1:8" s="4" customFormat="1" ht="40.15" customHeight="1" x14ac:dyDescent="0.2">
      <c r="A26" s="21" t="s">
        <v>6</v>
      </c>
      <c r="B26" s="57">
        <v>26</v>
      </c>
      <c r="C26" s="58">
        <f t="shared" ref="C26:C27" si="2">ROUND(F26/B26,10)</f>
        <v>11053.6076923077</v>
      </c>
      <c r="D26" s="3">
        <f>B26*C26</f>
        <v>287393.80000000022</v>
      </c>
      <c r="E26" s="22">
        <f>ROUND((ROUND((D26*20%),2)+D26),2)</f>
        <v>344872.56</v>
      </c>
      <c r="F26" s="46">
        <v>287393.8</v>
      </c>
      <c r="G26" s="44">
        <f>B26</f>
        <v>26</v>
      </c>
      <c r="H26" s="46"/>
    </row>
    <row r="27" spans="1:8" s="4" customFormat="1" ht="40.15" customHeight="1" thickBot="1" x14ac:dyDescent="0.25">
      <c r="A27" s="21" t="s">
        <v>7</v>
      </c>
      <c r="B27" s="57">
        <v>26.900000000000002</v>
      </c>
      <c r="C27" s="58">
        <f t="shared" si="2"/>
        <v>7052.6007434944004</v>
      </c>
      <c r="D27" s="3">
        <f>B27*C27</f>
        <v>189714.95999999938</v>
      </c>
      <c r="E27" s="22">
        <f>ROUND((ROUND((D27*20%),2)+D27),2)</f>
        <v>227657.95</v>
      </c>
      <c r="F27" s="46">
        <v>189714.96000000002</v>
      </c>
      <c r="G27" s="44">
        <f>B27</f>
        <v>26.900000000000002</v>
      </c>
      <c r="H27" s="46"/>
    </row>
    <row r="28" spans="1:8" s="4" customFormat="1" ht="40.15" hidden="1" customHeight="1" outlineLevel="1" x14ac:dyDescent="0.2">
      <c r="A28" s="21" t="s">
        <v>37</v>
      </c>
      <c r="B28" s="107"/>
      <c r="C28" s="108"/>
      <c r="D28" s="3">
        <f>B28*C28</f>
        <v>0</v>
      </c>
      <c r="E28" s="22">
        <f>ROUND((ROUND((D28*20%),2)+D28),2)</f>
        <v>0</v>
      </c>
      <c r="F28" s="46"/>
      <c r="G28" s="44"/>
      <c r="H28" s="46"/>
    </row>
    <row r="29" spans="1:8" s="11" customFormat="1" ht="40.15" customHeight="1" collapsed="1" thickBot="1" x14ac:dyDescent="0.35">
      <c r="A29" s="12" t="s">
        <v>1</v>
      </c>
      <c r="B29" s="54">
        <f>B24-B19</f>
        <v>0.60000000000000142</v>
      </c>
      <c r="C29" s="13">
        <f>C24-C19</f>
        <v>8041.7575236656494</v>
      </c>
      <c r="D29" s="13">
        <f>D24-D19</f>
        <v>425995.3600000008</v>
      </c>
      <c r="E29" s="14">
        <f>E24-E19</f>
        <v>511194.43</v>
      </c>
      <c r="F29" s="111"/>
      <c r="G29" s="54">
        <f>G24-G19</f>
        <v>0.60000000000000142</v>
      </c>
    </row>
    <row r="30" spans="1:8" ht="22.5" x14ac:dyDescent="0.2">
      <c r="G30" s="47"/>
    </row>
  </sheetData>
  <mergeCells count="2">
    <mergeCell ref="A1:E1"/>
    <mergeCell ref="A16:E16"/>
  </mergeCells>
  <printOptions horizontalCentered="1"/>
  <pageMargins left="0.19685039370078741" right="0.19685039370078741" top="0.39370078740157483" bottom="0.19685039370078741" header="0" footer="0"/>
  <pageSetup paperSize="9" fitToHeight="2" orientation="landscape" r:id="rId1"/>
  <rowBreaks count="1" manualBreakCount="1">
    <brk id="15" max="4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76225-B257-425F-A008-2CACB620B3DA}">
  <dimension ref="A1:H35"/>
  <sheetViews>
    <sheetView view="pageBreakPreview" zoomScaleNormal="100" zoomScaleSheetLayoutView="100" workbookViewId="0">
      <selection activeCell="A16" sqref="A16:E16"/>
    </sheetView>
  </sheetViews>
  <sheetFormatPr defaultRowHeight="12.75" x14ac:dyDescent="0.2"/>
  <cols>
    <col min="1" max="1" width="45.28515625" style="1" customWidth="1"/>
    <col min="2" max="8" width="14.7109375" style="55" customWidth="1"/>
  </cols>
  <sheetData>
    <row r="1" spans="1:8" ht="13.5" thickBot="1" x14ac:dyDescent="0.25">
      <c r="A1"/>
      <c r="B1"/>
      <c r="C1"/>
      <c r="D1"/>
      <c r="E1"/>
      <c r="F1"/>
      <c r="G1"/>
      <c r="H1"/>
    </row>
    <row r="2" spans="1:8" s="82" customFormat="1" ht="38.25" thickBot="1" x14ac:dyDescent="0.25">
      <c r="A2" s="95" t="s">
        <v>34</v>
      </c>
      <c r="B2" s="96">
        <v>45901</v>
      </c>
      <c r="C2" s="96">
        <v>45931</v>
      </c>
      <c r="D2" s="96">
        <v>45962</v>
      </c>
      <c r="E2" s="96">
        <v>45992</v>
      </c>
      <c r="F2" s="96">
        <v>46023</v>
      </c>
      <c r="G2" s="96">
        <v>46054</v>
      </c>
      <c r="H2" s="97">
        <v>46082</v>
      </c>
    </row>
    <row r="3" spans="1:8" ht="38.25" thickBot="1" x14ac:dyDescent="0.25">
      <c r="A3" s="84" t="s">
        <v>4</v>
      </c>
      <c r="B3" s="83" t="s">
        <v>15</v>
      </c>
      <c r="C3" s="83" t="s">
        <v>15</v>
      </c>
      <c r="D3" s="83" t="s">
        <v>15</v>
      </c>
      <c r="E3" s="83" t="s">
        <v>15</v>
      </c>
      <c r="F3" s="83" t="s">
        <v>15</v>
      </c>
      <c r="G3" s="83" t="s">
        <v>15</v>
      </c>
      <c r="H3" s="85" t="s">
        <v>15</v>
      </c>
    </row>
    <row r="4" spans="1:8" ht="40.5" x14ac:dyDescent="0.2">
      <c r="A4" s="15" t="s">
        <v>2</v>
      </c>
      <c r="B4" s="48">
        <v>117.495</v>
      </c>
      <c r="C4" s="48">
        <v>221.75</v>
      </c>
      <c r="D4" s="48">
        <v>271.14</v>
      </c>
      <c r="E4" s="48">
        <f>SUM(E6:E10)</f>
        <v>260.58499999999998</v>
      </c>
      <c r="F4" s="48">
        <f>SUM(F6:F10)</f>
        <v>308.85000000000002</v>
      </c>
      <c r="G4" s="48">
        <f>SUM(G6:G10)</f>
        <v>329.02499999999998</v>
      </c>
      <c r="H4" s="86">
        <f>SUM(H6:H10)</f>
        <v>440.15833399999997</v>
      </c>
    </row>
    <row r="5" spans="1:8" ht="20.25" x14ac:dyDescent="0.2">
      <c r="A5" s="18" t="s">
        <v>5</v>
      </c>
      <c r="B5" s="49"/>
      <c r="C5" s="49"/>
      <c r="D5" s="49"/>
      <c r="E5" s="49"/>
      <c r="F5" s="49"/>
      <c r="G5" s="49"/>
      <c r="H5" s="87"/>
    </row>
    <row r="6" spans="1:8" ht="37.5" x14ac:dyDescent="0.2">
      <c r="A6" s="21" t="s">
        <v>16</v>
      </c>
      <c r="B6" s="50">
        <v>37.26</v>
      </c>
      <c r="C6" s="50">
        <v>0</v>
      </c>
      <c r="D6" s="50">
        <v>0</v>
      </c>
      <c r="E6" s="50">
        <v>0</v>
      </c>
      <c r="F6" s="50">
        <v>0</v>
      </c>
      <c r="G6" s="50">
        <v>0</v>
      </c>
      <c r="H6" s="88">
        <v>0</v>
      </c>
    </row>
    <row r="7" spans="1:8" ht="18.75" x14ac:dyDescent="0.2">
      <c r="A7" s="21" t="s">
        <v>6</v>
      </c>
      <c r="B7" s="50">
        <v>0</v>
      </c>
      <c r="C7" s="50">
        <v>0</v>
      </c>
      <c r="D7" s="57">
        <v>7.8</v>
      </c>
      <c r="E7" s="57">
        <v>91.699999999999974</v>
      </c>
      <c r="F7" s="57">
        <v>143.80000000000001</v>
      </c>
      <c r="G7" s="57">
        <v>0</v>
      </c>
      <c r="H7" s="89">
        <v>13.8</v>
      </c>
    </row>
    <row r="8" spans="1:8" ht="19.5" thickBot="1" x14ac:dyDescent="0.25">
      <c r="A8" s="23" t="s">
        <v>7</v>
      </c>
      <c r="B8" s="51">
        <v>0</v>
      </c>
      <c r="C8" s="51">
        <v>68</v>
      </c>
      <c r="D8" s="59">
        <v>170.5</v>
      </c>
      <c r="E8" s="59">
        <v>35.299999999999997</v>
      </c>
      <c r="F8" s="59">
        <v>65.8</v>
      </c>
      <c r="G8" s="59">
        <v>245.2</v>
      </c>
      <c r="H8" s="90">
        <v>261.39999999999998</v>
      </c>
    </row>
    <row r="9" spans="1:8" ht="37.5" x14ac:dyDescent="0.2">
      <c r="A9" s="102" t="s">
        <v>36</v>
      </c>
      <c r="B9" s="103"/>
      <c r="C9" s="103"/>
      <c r="D9" s="104"/>
      <c r="E9" s="104"/>
      <c r="F9" s="104"/>
      <c r="G9" s="104"/>
      <c r="H9" s="105">
        <v>70.833335000000005</v>
      </c>
    </row>
    <row r="10" spans="1:8" ht="38.25" thickBot="1" x14ac:dyDescent="0.25">
      <c r="A10" s="23" t="s">
        <v>14</v>
      </c>
      <c r="B10" s="51">
        <v>80.234999999999999</v>
      </c>
      <c r="C10" s="51">
        <v>153.75</v>
      </c>
      <c r="D10" s="59">
        <v>92.84</v>
      </c>
      <c r="E10" s="99">
        <v>133.58500000000001</v>
      </c>
      <c r="F10" s="99">
        <v>99.25</v>
      </c>
      <c r="G10" s="99">
        <v>83.825000000000003</v>
      </c>
      <c r="H10" s="106">
        <v>94.124999000000003</v>
      </c>
    </row>
    <row r="11" spans="1:8" ht="40.5" x14ac:dyDescent="0.2">
      <c r="A11" s="15" t="s">
        <v>3</v>
      </c>
      <c r="B11" s="48">
        <v>63.494999999999997</v>
      </c>
      <c r="C11" s="48">
        <v>171.66499999999999</v>
      </c>
      <c r="D11" s="63">
        <v>224.32499999999999</v>
      </c>
      <c r="E11" s="63">
        <f>SUM(E13:E16)</f>
        <v>209.40499999999997</v>
      </c>
      <c r="F11" s="63">
        <f>SUM(F13:F16)</f>
        <v>250.74</v>
      </c>
      <c r="G11" s="63">
        <f>SUM(G13:G16)</f>
        <v>281.49</v>
      </c>
      <c r="H11" s="91">
        <f>SUM(H13:H16)</f>
        <v>371.72833399999996</v>
      </c>
    </row>
    <row r="12" spans="1:8" ht="20.25" x14ac:dyDescent="0.2">
      <c r="A12" s="18" t="s">
        <v>5</v>
      </c>
      <c r="B12" s="49"/>
      <c r="C12" s="49"/>
      <c r="D12" s="65"/>
      <c r="E12" s="65"/>
      <c r="F12" s="65"/>
      <c r="G12" s="65"/>
      <c r="H12" s="92"/>
    </row>
    <row r="13" spans="1:8" ht="18.75" x14ac:dyDescent="0.2">
      <c r="A13" s="21" t="s">
        <v>6</v>
      </c>
      <c r="B13" s="50">
        <v>0</v>
      </c>
      <c r="C13" s="50">
        <v>30</v>
      </c>
      <c r="D13" s="57">
        <v>104.1</v>
      </c>
      <c r="E13" s="57">
        <v>89.399999999999991</v>
      </c>
      <c r="F13" s="57">
        <v>127.9</v>
      </c>
      <c r="G13" s="57">
        <v>5</v>
      </c>
      <c r="H13" s="89">
        <v>137.89999999999998</v>
      </c>
    </row>
    <row r="14" spans="1:8" ht="19.5" thickBot="1" x14ac:dyDescent="0.25">
      <c r="A14" s="23" t="s">
        <v>7</v>
      </c>
      <c r="B14" s="51">
        <v>0</v>
      </c>
      <c r="C14" s="51">
        <v>45.3</v>
      </c>
      <c r="D14" s="59">
        <v>64.5</v>
      </c>
      <c r="E14" s="59">
        <v>38.5</v>
      </c>
      <c r="F14" s="59">
        <v>67.099999999999994</v>
      </c>
      <c r="G14" s="59">
        <v>230.9</v>
      </c>
      <c r="H14" s="90">
        <v>175.2</v>
      </c>
    </row>
    <row r="15" spans="1:8" ht="37.5" x14ac:dyDescent="0.2">
      <c r="A15" s="102" t="s">
        <v>37</v>
      </c>
      <c r="B15" s="103"/>
      <c r="C15" s="103"/>
      <c r="D15" s="104"/>
      <c r="E15" s="104"/>
      <c r="F15" s="104"/>
      <c r="G15" s="104"/>
      <c r="H15" s="105">
        <v>0</v>
      </c>
    </row>
    <row r="16" spans="1:8" ht="38.25" thickBot="1" x14ac:dyDescent="0.25">
      <c r="A16" s="23" t="s">
        <v>14</v>
      </c>
      <c r="B16" s="51">
        <v>63.494999999999997</v>
      </c>
      <c r="C16" s="51">
        <v>96.364999999999995</v>
      </c>
      <c r="D16" s="59">
        <v>55.725000000000001</v>
      </c>
      <c r="E16" s="99">
        <v>81.504999999999995</v>
      </c>
      <c r="F16" s="99">
        <v>55.74</v>
      </c>
      <c r="G16" s="99">
        <v>45.59</v>
      </c>
      <c r="H16" s="106">
        <v>58.628334000000002</v>
      </c>
    </row>
    <row r="17" spans="1:8" ht="23.25" thickBot="1" x14ac:dyDescent="0.35">
      <c r="A17" s="12" t="s">
        <v>1</v>
      </c>
      <c r="B17" s="54">
        <v>-54.000000000000007</v>
      </c>
      <c r="C17" s="54">
        <v>-50.085000000000008</v>
      </c>
      <c r="D17" s="54">
        <v>-46.814999999999998</v>
      </c>
      <c r="E17" s="54">
        <f>E11-E4</f>
        <v>-51.180000000000007</v>
      </c>
      <c r="F17" s="54">
        <f>F11-F4</f>
        <v>-58.110000000000014</v>
      </c>
      <c r="G17" s="54">
        <f>G11-G4</f>
        <v>-47.534999999999968</v>
      </c>
      <c r="H17" s="93">
        <f>H11-H4</f>
        <v>-68.430000000000007</v>
      </c>
    </row>
    <row r="19" spans="1:8" ht="13.5" thickBot="1" x14ac:dyDescent="0.25">
      <c r="A19"/>
      <c r="B19"/>
      <c r="C19"/>
      <c r="D19"/>
      <c r="E19"/>
      <c r="F19"/>
      <c r="G19"/>
      <c r="H19"/>
    </row>
    <row r="20" spans="1:8" s="82" customFormat="1" ht="38.25" thickBot="1" x14ac:dyDescent="0.25">
      <c r="A20" s="95" t="s">
        <v>35</v>
      </c>
      <c r="B20" s="96">
        <v>45901</v>
      </c>
      <c r="C20" s="96">
        <v>45931</v>
      </c>
      <c r="D20" s="96">
        <v>45962</v>
      </c>
      <c r="E20" s="96">
        <v>45992</v>
      </c>
      <c r="F20" s="96">
        <v>46023</v>
      </c>
      <c r="G20" s="96">
        <v>46054</v>
      </c>
      <c r="H20" s="97">
        <v>46082</v>
      </c>
    </row>
    <row r="21" spans="1:8" ht="38.25" thickBot="1" x14ac:dyDescent="0.25">
      <c r="A21" s="26" t="s">
        <v>4</v>
      </c>
      <c r="B21" s="56" t="s">
        <v>15</v>
      </c>
      <c r="C21" s="56" t="s">
        <v>15</v>
      </c>
      <c r="D21" s="56" t="s">
        <v>15</v>
      </c>
      <c r="E21" s="56" t="s">
        <v>15</v>
      </c>
      <c r="F21" s="56" t="s">
        <v>15</v>
      </c>
      <c r="G21" s="56" t="s">
        <v>15</v>
      </c>
      <c r="H21" s="94" t="s">
        <v>15</v>
      </c>
    </row>
    <row r="22" spans="1:8" ht="40.5" x14ac:dyDescent="0.2">
      <c r="A22" s="15" t="s">
        <v>2</v>
      </c>
      <c r="B22" s="48">
        <v>295.42399999999998</v>
      </c>
      <c r="C22" s="48">
        <v>289.0920000000001</v>
      </c>
      <c r="D22" s="48">
        <v>361.67200000000003</v>
      </c>
      <c r="E22" s="48">
        <f>SUM(E24:E28)</f>
        <v>353.99599999999998</v>
      </c>
      <c r="F22" s="48">
        <f>SUM(F24:F28)</f>
        <v>423.41599999999994</v>
      </c>
      <c r="G22" s="48">
        <f>SUM(G24:G28)</f>
        <v>422.79600000000005</v>
      </c>
      <c r="H22" s="86">
        <f>SUM(H24:H28)</f>
        <v>560.28466700000001</v>
      </c>
    </row>
    <row r="23" spans="1:8" ht="20.25" x14ac:dyDescent="0.2">
      <c r="A23" s="18" t="s">
        <v>5</v>
      </c>
      <c r="B23" s="49"/>
      <c r="C23" s="49"/>
      <c r="D23" s="49"/>
      <c r="E23" s="49"/>
      <c r="F23" s="49"/>
      <c r="G23" s="49"/>
      <c r="H23" s="87"/>
    </row>
    <row r="24" spans="1:8" ht="37.5" x14ac:dyDescent="0.2">
      <c r="A24" s="21" t="s">
        <v>16</v>
      </c>
      <c r="B24" s="50">
        <v>24.096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88">
        <v>0</v>
      </c>
    </row>
    <row r="25" spans="1:8" ht="18.75" x14ac:dyDescent="0.2">
      <c r="A25" s="21" t="s">
        <v>6</v>
      </c>
      <c r="B25" s="50">
        <v>0</v>
      </c>
      <c r="C25" s="50">
        <v>0</v>
      </c>
      <c r="D25" s="57">
        <v>8.6</v>
      </c>
      <c r="E25" s="57">
        <v>130.20000000000002</v>
      </c>
      <c r="F25" s="57">
        <v>207.2</v>
      </c>
      <c r="G25" s="57">
        <v>0</v>
      </c>
      <c r="H25" s="89">
        <v>19.8</v>
      </c>
    </row>
    <row r="26" spans="1:8" ht="19.5" thickBot="1" x14ac:dyDescent="0.25">
      <c r="A26" s="23" t="s">
        <v>7</v>
      </c>
      <c r="B26" s="51">
        <v>0</v>
      </c>
      <c r="C26" s="51">
        <v>92.000000000000071</v>
      </c>
      <c r="D26" s="59">
        <v>239.9</v>
      </c>
      <c r="E26" s="59">
        <v>51.099999999999994</v>
      </c>
      <c r="F26" s="59">
        <v>93.6</v>
      </c>
      <c r="G26" s="59">
        <v>321.10000000000002</v>
      </c>
      <c r="H26" s="90">
        <v>341.1</v>
      </c>
    </row>
    <row r="27" spans="1:8" ht="37.5" x14ac:dyDescent="0.2">
      <c r="A27" s="102" t="s">
        <v>36</v>
      </c>
      <c r="B27" s="103"/>
      <c r="C27" s="103"/>
      <c r="D27" s="104"/>
      <c r="E27" s="104"/>
      <c r="F27" s="104"/>
      <c r="G27" s="104"/>
      <c r="H27" s="105">
        <v>80.850001000000006</v>
      </c>
    </row>
    <row r="28" spans="1:8" ht="38.25" thickBot="1" x14ac:dyDescent="0.25">
      <c r="A28" s="23" t="s">
        <v>14</v>
      </c>
      <c r="B28" s="51">
        <v>271.32799999999997</v>
      </c>
      <c r="C28" s="51">
        <v>197.09200000000001</v>
      </c>
      <c r="D28" s="59">
        <v>113.172</v>
      </c>
      <c r="E28" s="99">
        <v>172.696</v>
      </c>
      <c r="F28" s="99">
        <v>122.616</v>
      </c>
      <c r="G28" s="99">
        <v>101.696</v>
      </c>
      <c r="H28" s="106">
        <v>118.534666</v>
      </c>
    </row>
    <row r="29" spans="1:8" ht="40.5" x14ac:dyDescent="0.2">
      <c r="A29" s="15" t="s">
        <v>3</v>
      </c>
      <c r="B29" s="48">
        <v>231.072</v>
      </c>
      <c r="C29" s="48">
        <v>224.99600000000004</v>
      </c>
      <c r="D29" s="63">
        <v>298.98400000000004</v>
      </c>
      <c r="E29" s="63">
        <f>SUM(E31:E34)</f>
        <v>287.58000000000004</v>
      </c>
      <c r="F29" s="63">
        <f>SUM(F31:F34)</f>
        <v>346.45600000000002</v>
      </c>
      <c r="G29" s="63">
        <f>SUM(G31:G34)</f>
        <v>362.12399999999997</v>
      </c>
      <c r="H29" s="91">
        <f>SUM(H31:H34)</f>
        <v>471.72466700000001</v>
      </c>
    </row>
    <row r="30" spans="1:8" ht="20.25" x14ac:dyDescent="0.2">
      <c r="A30" s="18" t="s">
        <v>5</v>
      </c>
      <c r="B30" s="49"/>
      <c r="C30" s="49"/>
      <c r="D30" s="65"/>
      <c r="E30" s="65"/>
      <c r="F30" s="65"/>
      <c r="G30" s="65"/>
      <c r="H30" s="92"/>
    </row>
    <row r="31" spans="1:8" ht="18.75" x14ac:dyDescent="0.2">
      <c r="A31" s="21" t="s">
        <v>6</v>
      </c>
      <c r="B31" s="50">
        <v>0</v>
      </c>
      <c r="C31" s="50">
        <v>43.20000000000001</v>
      </c>
      <c r="D31" s="57">
        <v>147.30000000000001</v>
      </c>
      <c r="E31" s="57">
        <v>130.50000000000003</v>
      </c>
      <c r="F31" s="57">
        <v>184.3</v>
      </c>
      <c r="G31" s="57">
        <v>7.4</v>
      </c>
      <c r="H31" s="89">
        <v>191.3</v>
      </c>
    </row>
    <row r="32" spans="1:8" ht="19.5" thickBot="1" x14ac:dyDescent="0.25">
      <c r="A32" s="23" t="s">
        <v>7</v>
      </c>
      <c r="B32" s="51">
        <v>0</v>
      </c>
      <c r="C32" s="51">
        <v>52.800000000000018</v>
      </c>
      <c r="D32" s="59">
        <v>88.3</v>
      </c>
      <c r="E32" s="59">
        <v>52.300000000000018</v>
      </c>
      <c r="F32" s="59">
        <v>89.9</v>
      </c>
      <c r="G32" s="59">
        <v>301.2</v>
      </c>
      <c r="H32" s="90">
        <v>210.7</v>
      </c>
    </row>
    <row r="33" spans="1:8" ht="37.5" x14ac:dyDescent="0.2">
      <c r="A33" s="102" t="s">
        <v>37</v>
      </c>
      <c r="B33" s="103"/>
      <c r="C33" s="103"/>
      <c r="D33" s="104"/>
      <c r="E33" s="104"/>
      <c r="F33" s="104"/>
      <c r="G33" s="104"/>
      <c r="H33" s="105">
        <v>0</v>
      </c>
    </row>
    <row r="34" spans="1:8" ht="38.25" thickBot="1" x14ac:dyDescent="0.25">
      <c r="A34" s="23" t="s">
        <v>14</v>
      </c>
      <c r="B34" s="51">
        <v>231.072</v>
      </c>
      <c r="C34" s="51">
        <v>128.99600000000001</v>
      </c>
      <c r="D34" s="59">
        <v>63.384</v>
      </c>
      <c r="E34" s="99">
        <v>104.78</v>
      </c>
      <c r="F34" s="99">
        <v>72.256</v>
      </c>
      <c r="G34" s="99">
        <v>53.524000000000001</v>
      </c>
      <c r="H34" s="106">
        <v>69.724666999999997</v>
      </c>
    </row>
    <row r="35" spans="1:8" ht="23.25" thickBot="1" x14ac:dyDescent="0.35">
      <c r="A35" s="12" t="s">
        <v>1</v>
      </c>
      <c r="B35" s="54">
        <v>-64.351999999999975</v>
      </c>
      <c r="C35" s="54">
        <v>-64.09600000000006</v>
      </c>
      <c r="D35" s="54">
        <v>-62.687999999999988</v>
      </c>
      <c r="E35" s="54">
        <f>E29-E22</f>
        <v>-66.41599999999994</v>
      </c>
      <c r="F35" s="54">
        <f>F29-F22</f>
        <v>-76.959999999999923</v>
      </c>
      <c r="G35" s="54">
        <f>G29-G22</f>
        <v>-60.672000000000082</v>
      </c>
      <c r="H35" s="93">
        <f>H29-H22</f>
        <v>-88.56</v>
      </c>
    </row>
  </sheetData>
  <pageMargins left="0.70866141732283472" right="0.70866141732283472" top="0.74803149606299213" bottom="0.74803149606299213" header="0.31496062992125984" footer="0.31496062992125984"/>
  <pageSetup paperSize="9" scale="90" fitToHeight="2" orientation="landscape" r:id="rId1"/>
  <rowBreaks count="1" manualBreakCount="1">
    <brk id="1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BA261-46FE-4F80-A721-1D03DBDC9156}">
  <dimension ref="A1:I25"/>
  <sheetViews>
    <sheetView view="pageBreakPreview" zoomScale="70" zoomScaleNormal="100" zoomScaleSheetLayoutView="70" workbookViewId="0">
      <selection activeCell="A16" sqref="A16:E16"/>
    </sheetView>
  </sheetViews>
  <sheetFormatPr defaultColWidth="8.85546875" defaultRowHeight="12.75" x14ac:dyDescent="0.2"/>
  <cols>
    <col min="1" max="1" width="45.28515625" style="1" customWidth="1"/>
    <col min="2" max="9" width="23.28515625" style="1" customWidth="1"/>
    <col min="10" max="16384" width="8.85546875" style="1"/>
  </cols>
  <sheetData>
    <row r="1" spans="1:9" s="29" customFormat="1" ht="105" customHeight="1" thickBot="1" x14ac:dyDescent="0.25">
      <c r="A1" s="118" t="s">
        <v>43</v>
      </c>
      <c r="B1" s="118"/>
      <c r="C1" s="118"/>
      <c r="D1" s="118"/>
      <c r="E1" s="118"/>
      <c r="F1" s="118"/>
      <c r="G1" s="118"/>
      <c r="H1" s="118"/>
      <c r="I1" s="118"/>
    </row>
    <row r="2" spans="1:9" ht="34.15" customHeight="1" thickBot="1" x14ac:dyDescent="0.25">
      <c r="B2" s="96">
        <v>45931</v>
      </c>
      <c r="C2" s="96">
        <v>45962</v>
      </c>
      <c r="D2" s="96">
        <v>45992</v>
      </c>
      <c r="E2" s="96">
        <v>46023</v>
      </c>
      <c r="F2" s="96">
        <v>46054</v>
      </c>
      <c r="G2" s="96">
        <v>46082</v>
      </c>
      <c r="H2" s="96">
        <v>46113</v>
      </c>
      <c r="I2" s="97" t="s">
        <v>45</v>
      </c>
    </row>
    <row r="3" spans="1:9" s="2" customFormat="1" ht="59.45" customHeight="1" thickBot="1" x14ac:dyDescent="0.35">
      <c r="A3" s="26" t="s">
        <v>4</v>
      </c>
      <c r="B3" s="28" t="s">
        <v>15</v>
      </c>
      <c r="C3" s="28" t="s">
        <v>15</v>
      </c>
      <c r="D3" s="28" t="s">
        <v>15</v>
      </c>
      <c r="E3" s="28" t="s">
        <v>15</v>
      </c>
      <c r="F3" s="28" t="s">
        <v>15</v>
      </c>
      <c r="G3" s="28" t="s">
        <v>15</v>
      </c>
      <c r="H3" s="28" t="s">
        <v>15</v>
      </c>
      <c r="I3" s="28" t="s">
        <v>15</v>
      </c>
    </row>
    <row r="4" spans="1:9" s="8" customFormat="1" ht="40.15" customHeight="1" x14ac:dyDescent="0.2">
      <c r="A4" s="15" t="s">
        <v>2</v>
      </c>
      <c r="B4" s="17">
        <f t="shared" ref="B4:F4" si="0">SUM(B6:B7)</f>
        <v>68</v>
      </c>
      <c r="C4" s="17">
        <f t="shared" si="0"/>
        <v>178.3</v>
      </c>
      <c r="D4" s="17">
        <f t="shared" si="0"/>
        <v>126.99999999999997</v>
      </c>
      <c r="E4" s="17">
        <f t="shared" si="0"/>
        <v>209.60000000000002</v>
      </c>
      <c r="F4" s="17">
        <f t="shared" si="0"/>
        <v>245.2</v>
      </c>
      <c r="G4" s="17">
        <f>SUM(G6:G7)</f>
        <v>275.2</v>
      </c>
      <c r="H4" s="17">
        <f t="shared" ref="H4:I4" si="1">SUM(H6:H7)</f>
        <v>219.09999999999997</v>
      </c>
      <c r="I4" s="17">
        <f t="shared" si="1"/>
        <v>41.1</v>
      </c>
    </row>
    <row r="5" spans="1:9" s="9" customFormat="1" ht="20.25" x14ac:dyDescent="0.2">
      <c r="A5" s="112" t="s">
        <v>5</v>
      </c>
      <c r="B5" s="113"/>
      <c r="C5" s="113"/>
      <c r="D5" s="113"/>
      <c r="E5" s="113"/>
      <c r="F5" s="113"/>
      <c r="G5" s="113"/>
      <c r="H5" s="113"/>
      <c r="I5" s="114"/>
    </row>
    <row r="6" spans="1:9" s="4" customFormat="1" ht="40.15" customHeight="1" x14ac:dyDescent="0.2">
      <c r="A6" s="21" t="s">
        <v>6</v>
      </c>
      <c r="B6" s="22">
        <v>0</v>
      </c>
      <c r="C6" s="22">
        <v>7.8</v>
      </c>
      <c r="D6" s="22">
        <v>91.699999999999974</v>
      </c>
      <c r="E6" s="22">
        <v>143.80000000000001</v>
      </c>
      <c r="F6" s="22">
        <v>0</v>
      </c>
      <c r="G6" s="22">
        <v>13.8</v>
      </c>
      <c r="H6" s="22">
        <v>0</v>
      </c>
      <c r="I6" s="22">
        <v>0</v>
      </c>
    </row>
    <row r="7" spans="1:9" s="4" customFormat="1" ht="40.15" customHeight="1" thickBot="1" x14ac:dyDescent="0.25">
      <c r="A7" s="23" t="s">
        <v>7</v>
      </c>
      <c r="B7" s="25">
        <v>68</v>
      </c>
      <c r="C7" s="25">
        <v>170.5</v>
      </c>
      <c r="D7" s="25">
        <v>35.299999999999997</v>
      </c>
      <c r="E7" s="25">
        <v>65.8</v>
      </c>
      <c r="F7" s="25">
        <v>245.2</v>
      </c>
      <c r="G7" s="22">
        <v>261.39999999999998</v>
      </c>
      <c r="H7" s="22">
        <v>219.09999999999997</v>
      </c>
      <c r="I7" s="22">
        <v>41.1</v>
      </c>
    </row>
    <row r="8" spans="1:9" s="8" customFormat="1" ht="40.15" customHeight="1" x14ac:dyDescent="0.2">
      <c r="A8" s="15" t="s">
        <v>3</v>
      </c>
      <c r="B8" s="17">
        <f t="shared" ref="B8:I8" si="2">SUM(B10:B11)</f>
        <v>75.3</v>
      </c>
      <c r="C8" s="17">
        <f t="shared" si="2"/>
        <v>168.6</v>
      </c>
      <c r="D8" s="17">
        <f t="shared" si="2"/>
        <v>127.89999999999999</v>
      </c>
      <c r="E8" s="17">
        <f t="shared" si="2"/>
        <v>195</v>
      </c>
      <c r="F8" s="17">
        <f t="shared" si="2"/>
        <v>235.9</v>
      </c>
      <c r="G8" s="17">
        <f t="shared" si="2"/>
        <v>313.09999999999997</v>
      </c>
      <c r="H8" s="17">
        <f t="shared" si="2"/>
        <v>313.7999999999999</v>
      </c>
      <c r="I8" s="17">
        <f t="shared" si="2"/>
        <v>46.600000000000009</v>
      </c>
    </row>
    <row r="9" spans="1:9" s="9" customFormat="1" ht="20.25" x14ac:dyDescent="0.2">
      <c r="A9" s="112" t="s">
        <v>5</v>
      </c>
      <c r="B9" s="113"/>
      <c r="C9" s="113"/>
      <c r="D9" s="113"/>
      <c r="E9" s="113"/>
      <c r="F9" s="113"/>
      <c r="G9" s="113"/>
      <c r="H9" s="113"/>
      <c r="I9" s="114"/>
    </row>
    <row r="10" spans="1:9" s="4" customFormat="1" ht="40.15" customHeight="1" x14ac:dyDescent="0.2">
      <c r="A10" s="21" t="s">
        <v>6</v>
      </c>
      <c r="B10" s="22">
        <v>30</v>
      </c>
      <c r="C10" s="22">
        <v>104.1</v>
      </c>
      <c r="D10" s="22">
        <v>89.399999999999991</v>
      </c>
      <c r="E10" s="22">
        <v>127.9</v>
      </c>
      <c r="F10" s="22">
        <v>5</v>
      </c>
      <c r="G10" s="22">
        <v>137.89999999999998</v>
      </c>
      <c r="H10" s="22">
        <v>177.99999999999991</v>
      </c>
      <c r="I10" s="22">
        <v>20.3</v>
      </c>
    </row>
    <row r="11" spans="1:9" s="4" customFormat="1" ht="40.15" customHeight="1" thickBot="1" x14ac:dyDescent="0.25">
      <c r="A11" s="23" t="s">
        <v>7</v>
      </c>
      <c r="B11" s="25">
        <v>45.3</v>
      </c>
      <c r="C11" s="25">
        <v>64.5</v>
      </c>
      <c r="D11" s="25">
        <v>38.5</v>
      </c>
      <c r="E11" s="25">
        <v>67.099999999999994</v>
      </c>
      <c r="F11" s="25">
        <v>230.9</v>
      </c>
      <c r="G11" s="22">
        <v>175.2</v>
      </c>
      <c r="H11" s="22">
        <v>135.79999999999998</v>
      </c>
      <c r="I11" s="22">
        <v>26.300000000000004</v>
      </c>
    </row>
    <row r="12" spans="1:9" s="11" customFormat="1" ht="40.15" customHeight="1" thickBot="1" x14ac:dyDescent="0.35">
      <c r="A12" s="12" t="s">
        <v>1</v>
      </c>
      <c r="B12" s="14">
        <f>B8-B4</f>
        <v>7.2999999999999972</v>
      </c>
      <c r="C12" s="14">
        <f t="shared" ref="C12:I12" si="3">C8-C4</f>
        <v>-9.7000000000000171</v>
      </c>
      <c r="D12" s="14">
        <f t="shared" si="3"/>
        <v>0.9000000000000199</v>
      </c>
      <c r="E12" s="14">
        <f t="shared" si="3"/>
        <v>-14.600000000000023</v>
      </c>
      <c r="F12" s="14">
        <f t="shared" si="3"/>
        <v>-9.2999999999999829</v>
      </c>
      <c r="G12" s="14">
        <f t="shared" si="3"/>
        <v>37.899999999999977</v>
      </c>
      <c r="H12" s="14">
        <f t="shared" si="3"/>
        <v>94.699999999999932</v>
      </c>
      <c r="I12" s="14">
        <f t="shared" si="3"/>
        <v>5.5000000000000071</v>
      </c>
    </row>
    <row r="14" spans="1:9" s="29" customFormat="1" ht="105" customHeight="1" thickBot="1" x14ac:dyDescent="0.25">
      <c r="A14" s="118" t="s">
        <v>44</v>
      </c>
      <c r="B14" s="118"/>
      <c r="C14" s="118"/>
      <c r="D14" s="118"/>
      <c r="E14" s="118"/>
      <c r="F14" s="118"/>
      <c r="G14" s="118"/>
      <c r="H14" s="118"/>
      <c r="I14" s="118"/>
    </row>
    <row r="15" spans="1:9" ht="34.15" customHeight="1" thickBot="1" x14ac:dyDescent="0.25">
      <c r="B15" s="96">
        <v>45931</v>
      </c>
      <c r="C15" s="96">
        <v>45962</v>
      </c>
      <c r="D15" s="96">
        <v>45992</v>
      </c>
      <c r="E15" s="96">
        <v>46023</v>
      </c>
      <c r="F15" s="96">
        <v>46054</v>
      </c>
      <c r="G15" s="96">
        <v>46082</v>
      </c>
      <c r="H15" s="96">
        <v>46113</v>
      </c>
      <c r="I15" s="97" t="s">
        <v>45</v>
      </c>
    </row>
    <row r="16" spans="1:9" s="2" customFormat="1" ht="59.45" customHeight="1" thickBot="1" x14ac:dyDescent="0.35">
      <c r="A16" s="26" t="s">
        <v>4</v>
      </c>
      <c r="B16" s="28" t="s">
        <v>15</v>
      </c>
      <c r="C16" s="28" t="s">
        <v>15</v>
      </c>
      <c r="D16" s="28" t="s">
        <v>15</v>
      </c>
      <c r="E16" s="28" t="s">
        <v>15</v>
      </c>
      <c r="F16" s="28" t="s">
        <v>15</v>
      </c>
      <c r="G16" s="28" t="s">
        <v>15</v>
      </c>
      <c r="H16" s="28" t="s">
        <v>15</v>
      </c>
      <c r="I16" s="28" t="s">
        <v>15</v>
      </c>
    </row>
    <row r="17" spans="1:9" s="8" customFormat="1" ht="40.15" customHeight="1" x14ac:dyDescent="0.2">
      <c r="A17" s="15" t="s">
        <v>2</v>
      </c>
      <c r="B17" s="17">
        <f t="shared" ref="B17:I17" si="4">SUM(B19:B20)</f>
        <v>92.000000000000071</v>
      </c>
      <c r="C17" s="17">
        <f t="shared" si="4"/>
        <v>248.5</v>
      </c>
      <c r="D17" s="17">
        <f t="shared" si="4"/>
        <v>181.3</v>
      </c>
      <c r="E17" s="17">
        <f t="shared" si="4"/>
        <v>300.79999999999995</v>
      </c>
      <c r="F17" s="17">
        <f t="shared" si="4"/>
        <v>321.10000000000002</v>
      </c>
      <c r="G17" s="17">
        <f t="shared" si="4"/>
        <v>360.90000000000003</v>
      </c>
      <c r="H17" s="17">
        <f t="shared" si="4"/>
        <v>296.2000000000001</v>
      </c>
      <c r="I17" s="17">
        <f t="shared" si="4"/>
        <v>52.300000000000004</v>
      </c>
    </row>
    <row r="18" spans="1:9" s="9" customFormat="1" ht="20.25" x14ac:dyDescent="0.2">
      <c r="A18" s="112" t="s">
        <v>5</v>
      </c>
      <c r="B18" s="113"/>
      <c r="C18" s="113"/>
      <c r="D18" s="113"/>
      <c r="E18" s="113"/>
      <c r="F18" s="113"/>
      <c r="G18" s="113"/>
      <c r="H18" s="113"/>
      <c r="I18" s="114"/>
    </row>
    <row r="19" spans="1:9" s="4" customFormat="1" ht="40.15" customHeight="1" x14ac:dyDescent="0.2">
      <c r="A19" s="21" t="s">
        <v>6</v>
      </c>
      <c r="B19" s="22">
        <v>0</v>
      </c>
      <c r="C19" s="22">
        <v>8.6</v>
      </c>
      <c r="D19" s="22">
        <v>130.20000000000002</v>
      </c>
      <c r="E19" s="22">
        <v>207.2</v>
      </c>
      <c r="F19" s="22">
        <v>0</v>
      </c>
      <c r="G19" s="22">
        <v>19.8</v>
      </c>
      <c r="H19" s="22">
        <v>0</v>
      </c>
      <c r="I19" s="22">
        <v>0</v>
      </c>
    </row>
    <row r="20" spans="1:9" s="4" customFormat="1" ht="40.15" customHeight="1" thickBot="1" x14ac:dyDescent="0.25">
      <c r="A20" s="23" t="s">
        <v>7</v>
      </c>
      <c r="B20" s="25">
        <v>92.000000000000071</v>
      </c>
      <c r="C20" s="25">
        <v>239.9</v>
      </c>
      <c r="D20" s="25">
        <v>51.099999999999994</v>
      </c>
      <c r="E20" s="25">
        <v>93.6</v>
      </c>
      <c r="F20" s="25">
        <v>321.10000000000002</v>
      </c>
      <c r="G20" s="22">
        <v>341.1</v>
      </c>
      <c r="H20" s="22">
        <v>296.2000000000001</v>
      </c>
      <c r="I20" s="22">
        <v>52.300000000000004</v>
      </c>
    </row>
    <row r="21" spans="1:9" s="8" customFormat="1" ht="40.15" customHeight="1" x14ac:dyDescent="0.2">
      <c r="A21" s="15" t="s">
        <v>3</v>
      </c>
      <c r="B21" s="17">
        <f t="shared" ref="B21:H21" si="5">SUM(B23:B24)</f>
        <v>96.000000000000028</v>
      </c>
      <c r="C21" s="17">
        <f t="shared" si="5"/>
        <v>235.60000000000002</v>
      </c>
      <c r="D21" s="17">
        <f t="shared" si="5"/>
        <v>182.80000000000004</v>
      </c>
      <c r="E21" s="17">
        <f t="shared" si="5"/>
        <v>274.20000000000005</v>
      </c>
      <c r="F21" s="17">
        <f t="shared" si="5"/>
        <v>308.59999999999997</v>
      </c>
      <c r="G21" s="17">
        <f t="shared" si="5"/>
        <v>402</v>
      </c>
      <c r="H21" s="17">
        <f t="shared" si="5"/>
        <v>382.60000000000014</v>
      </c>
      <c r="I21" s="17">
        <f>SUM(I23:I24)</f>
        <v>52.900000000000006</v>
      </c>
    </row>
    <row r="22" spans="1:9" s="9" customFormat="1" ht="20.25" x14ac:dyDescent="0.2">
      <c r="A22" s="112" t="s">
        <v>5</v>
      </c>
      <c r="B22" s="113"/>
      <c r="C22" s="113"/>
      <c r="D22" s="113"/>
      <c r="E22" s="113"/>
      <c r="F22" s="113"/>
      <c r="G22" s="113"/>
      <c r="H22" s="113"/>
      <c r="I22" s="114"/>
    </row>
    <row r="23" spans="1:9" s="4" customFormat="1" ht="40.15" customHeight="1" x14ac:dyDescent="0.2">
      <c r="A23" s="21" t="s">
        <v>6</v>
      </c>
      <c r="B23" s="22">
        <v>43.20000000000001</v>
      </c>
      <c r="C23" s="22">
        <v>147.30000000000001</v>
      </c>
      <c r="D23" s="22">
        <v>130.50000000000003</v>
      </c>
      <c r="E23" s="22">
        <v>184.3</v>
      </c>
      <c r="F23" s="22">
        <v>7.4</v>
      </c>
      <c r="G23" s="22">
        <v>191.3</v>
      </c>
      <c r="H23" s="22">
        <v>202.40000000000009</v>
      </c>
      <c r="I23" s="22">
        <v>26</v>
      </c>
    </row>
    <row r="24" spans="1:9" s="4" customFormat="1" ht="40.15" customHeight="1" thickBot="1" x14ac:dyDescent="0.25">
      <c r="A24" s="23" t="s">
        <v>7</v>
      </c>
      <c r="B24" s="25">
        <v>52.800000000000018</v>
      </c>
      <c r="C24" s="25">
        <v>88.3</v>
      </c>
      <c r="D24" s="25">
        <v>52.300000000000018</v>
      </c>
      <c r="E24" s="25">
        <v>89.9</v>
      </c>
      <c r="F24" s="25">
        <v>301.2</v>
      </c>
      <c r="G24" s="22">
        <v>210.7</v>
      </c>
      <c r="H24" s="22">
        <v>180.20000000000002</v>
      </c>
      <c r="I24" s="22">
        <v>26.900000000000002</v>
      </c>
    </row>
    <row r="25" spans="1:9" s="11" customFormat="1" ht="40.15" customHeight="1" thickBot="1" x14ac:dyDescent="0.35">
      <c r="A25" s="12" t="s">
        <v>1</v>
      </c>
      <c r="B25" s="14">
        <f t="shared" ref="B25:G25" si="6">B21-B17</f>
        <v>3.9999999999999574</v>
      </c>
      <c r="C25" s="14">
        <f t="shared" si="6"/>
        <v>-12.899999999999977</v>
      </c>
      <c r="D25" s="14">
        <f t="shared" si="6"/>
        <v>1.5000000000000284</v>
      </c>
      <c r="E25" s="14">
        <f t="shared" si="6"/>
        <v>-26.599999999999909</v>
      </c>
      <c r="F25" s="14">
        <f t="shared" si="6"/>
        <v>-12.500000000000057</v>
      </c>
      <c r="G25" s="14">
        <f t="shared" si="6"/>
        <v>41.099999999999966</v>
      </c>
      <c r="H25" s="14">
        <f>H21-H17</f>
        <v>86.400000000000034</v>
      </c>
      <c r="I25" s="14">
        <f>I21-I17</f>
        <v>0.60000000000000142</v>
      </c>
    </row>
  </sheetData>
  <mergeCells count="2">
    <mergeCell ref="A1:I1"/>
    <mergeCell ref="A14:I14"/>
  </mergeCells>
  <pageMargins left="0.70866141732283472" right="0.70866141732283472" top="0.74803149606299213" bottom="0.74803149606299213" header="0.31496062992125984" footer="0.31496062992125984"/>
  <pageSetup paperSize="9" scale="55" fitToHeight="2" orientation="landscape" r:id="rId1"/>
  <rowBreaks count="1" manualBreakCount="1">
    <brk id="13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68C54-EEFF-4B9A-9129-E6B6A1B9DB55}">
  <sheetPr>
    <tabColor rgb="FF002060"/>
  </sheetPr>
  <dimension ref="A1:I25"/>
  <sheetViews>
    <sheetView view="pageBreakPreview" zoomScale="70" zoomScaleNormal="100" zoomScaleSheetLayoutView="70" workbookViewId="0">
      <selection activeCell="A16" sqref="A16:E16"/>
    </sheetView>
  </sheetViews>
  <sheetFormatPr defaultColWidth="8.85546875" defaultRowHeight="12.75" x14ac:dyDescent="0.2"/>
  <cols>
    <col min="1" max="1" width="45.28515625" style="1" customWidth="1"/>
    <col min="2" max="9" width="23.28515625" style="1" customWidth="1"/>
    <col min="10" max="12" width="8.85546875" style="1" customWidth="1"/>
    <col min="13" max="16384" width="8.85546875" style="1"/>
  </cols>
  <sheetData>
    <row r="1" spans="1:9" s="29" customFormat="1" ht="105" customHeight="1" thickBot="1" x14ac:dyDescent="0.25">
      <c r="A1" s="118" t="s">
        <v>43</v>
      </c>
      <c r="B1" s="118"/>
      <c r="C1" s="118"/>
      <c r="D1" s="118"/>
      <c r="E1" s="118"/>
      <c r="F1" s="118"/>
      <c r="G1" s="118"/>
      <c r="H1" s="118"/>
      <c r="I1" s="118"/>
    </row>
    <row r="2" spans="1:9" ht="34.15" customHeight="1" thickBot="1" x14ac:dyDescent="0.25">
      <c r="B2" s="96">
        <v>45931</v>
      </c>
      <c r="C2" s="96">
        <v>45962</v>
      </c>
      <c r="D2" s="96">
        <v>45992</v>
      </c>
      <c r="E2" s="96">
        <v>46023</v>
      </c>
      <c r="F2" s="96">
        <v>46054</v>
      </c>
      <c r="G2" s="96">
        <v>46082</v>
      </c>
      <c r="H2" s="96">
        <v>46113</v>
      </c>
      <c r="I2" s="97" t="s">
        <v>45</v>
      </c>
    </row>
    <row r="3" spans="1:9" s="2" customFormat="1" ht="59.45" customHeight="1" thickBot="1" x14ac:dyDescent="0.35">
      <c r="A3" s="26" t="s">
        <v>4</v>
      </c>
      <c r="B3" s="28" t="s">
        <v>9</v>
      </c>
      <c r="C3" s="28" t="s">
        <v>9</v>
      </c>
      <c r="D3" s="28" t="s">
        <v>9</v>
      </c>
      <c r="E3" s="28" t="s">
        <v>9</v>
      </c>
      <c r="F3" s="28" t="s">
        <v>9</v>
      </c>
      <c r="G3" s="28" t="s">
        <v>9</v>
      </c>
      <c r="H3" s="28" t="s">
        <v>9</v>
      </c>
      <c r="I3" s="28" t="s">
        <v>9</v>
      </c>
    </row>
    <row r="4" spans="1:9" s="8" customFormat="1" ht="40.15" customHeight="1" x14ac:dyDescent="0.2">
      <c r="A4" s="15" t="s">
        <v>2</v>
      </c>
      <c r="B4" s="17">
        <f>SUM(B6:B7)</f>
        <v>166910.03</v>
      </c>
      <c r="C4" s="17">
        <f t="shared" ref="C4:I4" si="0">SUM(C6:C7)</f>
        <v>479877.1800000036</v>
      </c>
      <c r="D4" s="17">
        <f t="shared" si="0"/>
        <v>519333.21999999846</v>
      </c>
      <c r="E4" s="17">
        <f t="shared" si="0"/>
        <v>1378215.63</v>
      </c>
      <c r="F4" s="17">
        <f t="shared" si="0"/>
        <v>1653547.96</v>
      </c>
      <c r="G4" s="17">
        <f t="shared" si="0"/>
        <v>1100918.81</v>
      </c>
      <c r="H4" s="17">
        <f t="shared" si="0"/>
        <v>338144.69</v>
      </c>
      <c r="I4" s="17">
        <f t="shared" si="0"/>
        <v>67919.520000000004</v>
      </c>
    </row>
    <row r="5" spans="1:9" s="9" customFormat="1" ht="20.25" x14ac:dyDescent="0.2">
      <c r="A5" s="112" t="s">
        <v>5</v>
      </c>
      <c r="B5" s="113"/>
      <c r="C5" s="113"/>
      <c r="D5" s="113"/>
      <c r="E5" s="113"/>
      <c r="F5" s="113"/>
      <c r="G5" s="113"/>
      <c r="H5" s="113"/>
      <c r="I5" s="114"/>
    </row>
    <row r="6" spans="1:9" s="4" customFormat="1" ht="40.15" customHeight="1" x14ac:dyDescent="0.2">
      <c r="A6" s="21" t="s">
        <v>6</v>
      </c>
      <c r="B6" s="22">
        <v>0</v>
      </c>
      <c r="C6" s="22">
        <v>62397.940000000366</v>
      </c>
      <c r="D6" s="22">
        <v>373712.63999999757</v>
      </c>
      <c r="E6" s="22">
        <v>912021.82</v>
      </c>
      <c r="F6" s="22">
        <v>0</v>
      </c>
      <c r="G6" s="22">
        <v>20286</v>
      </c>
      <c r="H6" s="22">
        <v>0</v>
      </c>
      <c r="I6" s="22">
        <v>0</v>
      </c>
    </row>
    <row r="7" spans="1:9" s="4" customFormat="1" ht="40.15" customHeight="1" thickBot="1" x14ac:dyDescent="0.25">
      <c r="A7" s="23" t="s">
        <v>7</v>
      </c>
      <c r="B7" s="25">
        <v>166910.03</v>
      </c>
      <c r="C7" s="25">
        <v>417479.24000000325</v>
      </c>
      <c r="D7" s="25">
        <v>145620.58000000092</v>
      </c>
      <c r="E7" s="25">
        <v>466193.81</v>
      </c>
      <c r="F7" s="25">
        <v>1653547.96</v>
      </c>
      <c r="G7" s="22">
        <v>1080632.81</v>
      </c>
      <c r="H7" s="22">
        <v>338144.69</v>
      </c>
      <c r="I7" s="22">
        <v>67919.520000000004</v>
      </c>
    </row>
    <row r="8" spans="1:9" s="8" customFormat="1" ht="40.15" customHeight="1" x14ac:dyDescent="0.2">
      <c r="A8" s="15" t="s">
        <v>3</v>
      </c>
      <c r="B8" s="17">
        <f>SUM(B10:B11)</f>
        <v>1086377.8399999999</v>
      </c>
      <c r="C8" s="17">
        <f t="shared" ref="C8:I8" si="1">SUM(C10:C11)</f>
        <v>2673916.3800000045</v>
      </c>
      <c r="D8" s="17">
        <f t="shared" si="1"/>
        <v>1948265.8900000039</v>
      </c>
      <c r="E8" s="17">
        <f t="shared" si="1"/>
        <v>3035426.34</v>
      </c>
      <c r="F8" s="17">
        <f t="shared" si="1"/>
        <v>3964841.1100000003</v>
      </c>
      <c r="G8" s="17">
        <f t="shared" si="1"/>
        <v>4618461.17</v>
      </c>
      <c r="H8" s="17">
        <f t="shared" si="1"/>
        <v>3983011.3499999996</v>
      </c>
      <c r="I8" s="17">
        <f t="shared" si="1"/>
        <v>532821.25</v>
      </c>
    </row>
    <row r="9" spans="1:9" s="9" customFormat="1" ht="20.25" x14ac:dyDescent="0.2">
      <c r="A9" s="112" t="s">
        <v>5</v>
      </c>
      <c r="B9" s="113"/>
      <c r="C9" s="113"/>
      <c r="D9" s="113"/>
      <c r="E9" s="113"/>
      <c r="F9" s="113"/>
      <c r="G9" s="113"/>
      <c r="H9" s="113"/>
      <c r="I9" s="114"/>
    </row>
    <row r="10" spans="1:9" s="4" customFormat="1" ht="40.15" customHeight="1" x14ac:dyDescent="0.2">
      <c r="A10" s="21" t="s">
        <v>6</v>
      </c>
      <c r="B10" s="22">
        <v>534960.86</v>
      </c>
      <c r="C10" s="22">
        <v>1806004.4200000018</v>
      </c>
      <c r="D10" s="22">
        <v>1417057.9900000037</v>
      </c>
      <c r="E10" s="22">
        <v>2012205.78</v>
      </c>
      <c r="F10" s="22">
        <v>89604.66</v>
      </c>
      <c r="G10" s="22">
        <v>2327106.11</v>
      </c>
      <c r="H10" s="22">
        <v>2678838.11</v>
      </c>
      <c r="I10" s="22">
        <v>277012.92</v>
      </c>
    </row>
    <row r="11" spans="1:9" s="4" customFormat="1" ht="40.15" customHeight="1" thickBot="1" x14ac:dyDescent="0.25">
      <c r="A11" s="23" t="s">
        <v>7</v>
      </c>
      <c r="B11" s="25">
        <v>551416.98</v>
      </c>
      <c r="C11" s="25">
        <v>867911.96000000287</v>
      </c>
      <c r="D11" s="25">
        <v>531207.90000000026</v>
      </c>
      <c r="E11" s="25">
        <v>1023220.56</v>
      </c>
      <c r="F11" s="25">
        <v>3875236.45</v>
      </c>
      <c r="G11" s="22">
        <v>2291355.06</v>
      </c>
      <c r="H11" s="22">
        <v>1304173.24</v>
      </c>
      <c r="I11" s="22">
        <v>255808.33</v>
      </c>
    </row>
    <row r="12" spans="1:9" s="11" customFormat="1" ht="40.15" customHeight="1" thickBot="1" x14ac:dyDescent="0.35">
      <c r="A12" s="12" t="s">
        <v>1</v>
      </c>
      <c r="B12" s="14">
        <f>B8-B4</f>
        <v>919467.80999999982</v>
      </c>
      <c r="C12" s="14">
        <f t="shared" ref="C12:I12" si="2">C8-C4</f>
        <v>2194039.2000000011</v>
      </c>
      <c r="D12" s="14">
        <f t="shared" si="2"/>
        <v>1428932.6700000055</v>
      </c>
      <c r="E12" s="14">
        <f t="shared" si="2"/>
        <v>1657210.71</v>
      </c>
      <c r="F12" s="14">
        <f t="shared" si="2"/>
        <v>2311293.1500000004</v>
      </c>
      <c r="G12" s="14">
        <f t="shared" si="2"/>
        <v>3517542.36</v>
      </c>
      <c r="H12" s="14">
        <f t="shared" si="2"/>
        <v>3644866.6599999997</v>
      </c>
      <c r="I12" s="14">
        <f t="shared" si="2"/>
        <v>464901.73</v>
      </c>
    </row>
    <row r="14" spans="1:9" s="29" customFormat="1" ht="105" customHeight="1" thickBot="1" x14ac:dyDescent="0.25">
      <c r="A14" s="118" t="s">
        <v>44</v>
      </c>
      <c r="B14" s="118"/>
      <c r="C14" s="118"/>
      <c r="D14" s="118"/>
      <c r="E14" s="118"/>
      <c r="F14" s="118"/>
      <c r="G14" s="118"/>
      <c r="H14" s="118"/>
      <c r="I14" s="118"/>
    </row>
    <row r="15" spans="1:9" ht="34.15" customHeight="1" thickBot="1" x14ac:dyDescent="0.25">
      <c r="B15" s="96">
        <v>45931</v>
      </c>
      <c r="C15" s="96">
        <v>45962</v>
      </c>
      <c r="D15" s="96">
        <v>45992</v>
      </c>
      <c r="E15" s="96">
        <v>46023</v>
      </c>
      <c r="F15" s="96">
        <v>46054</v>
      </c>
      <c r="G15" s="96">
        <v>46082</v>
      </c>
      <c r="H15" s="96">
        <v>46113</v>
      </c>
      <c r="I15" s="97" t="s">
        <v>45</v>
      </c>
    </row>
    <row r="16" spans="1:9" s="2" customFormat="1" ht="59.45" customHeight="1" thickBot="1" x14ac:dyDescent="0.35">
      <c r="A16" s="26" t="s">
        <v>4</v>
      </c>
      <c r="B16" s="28" t="s">
        <v>9</v>
      </c>
      <c r="C16" s="28" t="s">
        <v>9</v>
      </c>
      <c r="D16" s="28" t="s">
        <v>9</v>
      </c>
      <c r="E16" s="28" t="s">
        <v>9</v>
      </c>
      <c r="F16" s="28" t="s">
        <v>9</v>
      </c>
      <c r="G16" s="28" t="s">
        <v>9</v>
      </c>
      <c r="H16" s="28" t="s">
        <v>9</v>
      </c>
      <c r="I16" s="28" t="s">
        <v>9</v>
      </c>
    </row>
    <row r="17" spans="1:9" s="8" customFormat="1" ht="40.15" customHeight="1" x14ac:dyDescent="0.2">
      <c r="A17" s="15" t="s">
        <v>2</v>
      </c>
      <c r="B17" s="17">
        <f>SUM(B19:B20)</f>
        <v>230362.04399999999</v>
      </c>
      <c r="C17" s="17">
        <f t="shared" ref="C17:I17" si="3">SUM(C19:C20)</f>
        <v>658576.28000000422</v>
      </c>
      <c r="D17" s="17">
        <f t="shared" si="3"/>
        <v>771769.25000000175</v>
      </c>
      <c r="E17" s="17">
        <f t="shared" si="3"/>
        <v>2002086.19</v>
      </c>
      <c r="F17" s="17">
        <f t="shared" si="3"/>
        <v>2170018.58</v>
      </c>
      <c r="G17" s="17">
        <f t="shared" si="3"/>
        <v>1431033.74</v>
      </c>
      <c r="H17" s="17">
        <f t="shared" si="3"/>
        <v>425696.09</v>
      </c>
      <c r="I17" s="17">
        <f t="shared" si="3"/>
        <v>61336.08</v>
      </c>
    </row>
    <row r="18" spans="1:9" s="9" customFormat="1" ht="20.25" x14ac:dyDescent="0.2">
      <c r="A18" s="112" t="s">
        <v>5</v>
      </c>
      <c r="B18" s="113"/>
      <c r="C18" s="113"/>
      <c r="D18" s="113"/>
      <c r="E18" s="113"/>
      <c r="F18" s="113"/>
      <c r="G18" s="113"/>
      <c r="H18" s="113"/>
      <c r="I18" s="114"/>
    </row>
    <row r="19" spans="1:9" s="4" customFormat="1" ht="40.15" customHeight="1" x14ac:dyDescent="0.2">
      <c r="A19" s="21" t="s">
        <v>6</v>
      </c>
      <c r="B19" s="22">
        <v>0</v>
      </c>
      <c r="C19" s="22">
        <v>68803.319999999803</v>
      </c>
      <c r="D19" s="22">
        <v>542329.92000000062</v>
      </c>
      <c r="E19" s="22">
        <v>1322286.24</v>
      </c>
      <c r="F19" s="22">
        <v>0</v>
      </c>
      <c r="G19" s="22">
        <v>28512</v>
      </c>
      <c r="H19" s="22">
        <v>0</v>
      </c>
      <c r="I19" s="22">
        <v>0</v>
      </c>
    </row>
    <row r="20" spans="1:9" s="4" customFormat="1" ht="40.15" customHeight="1" thickBot="1" x14ac:dyDescent="0.25">
      <c r="A20" s="23" t="s">
        <v>7</v>
      </c>
      <c r="B20" s="25">
        <v>230362.04399999999</v>
      </c>
      <c r="C20" s="25">
        <v>589772.96000000439</v>
      </c>
      <c r="D20" s="25">
        <v>229439.33000000112</v>
      </c>
      <c r="E20" s="25">
        <v>679799.95</v>
      </c>
      <c r="F20" s="25">
        <v>2170018.58</v>
      </c>
      <c r="G20" s="22">
        <v>1402521.74</v>
      </c>
      <c r="H20" s="22">
        <v>425696.09</v>
      </c>
      <c r="I20" s="22">
        <v>61336.08</v>
      </c>
    </row>
    <row r="21" spans="1:9" s="8" customFormat="1" ht="40.15" customHeight="1" x14ac:dyDescent="0.2">
      <c r="A21" s="15" t="s">
        <v>3</v>
      </c>
      <c r="B21" s="17">
        <f>SUM(B23:B24)</f>
        <v>1447737.1210000003</v>
      </c>
      <c r="C21" s="17">
        <f t="shared" ref="C21:I21" si="4">SUM(C23:C24)</f>
        <v>3710170.7200000044</v>
      </c>
      <c r="D21" s="17">
        <f t="shared" si="4"/>
        <v>2789358.3499999978</v>
      </c>
      <c r="E21" s="17">
        <f t="shared" si="4"/>
        <v>4248854.18</v>
      </c>
      <c r="F21" s="17">
        <f t="shared" si="4"/>
        <v>5151604.67</v>
      </c>
      <c r="G21" s="17">
        <f t="shared" si="4"/>
        <v>5929723.7599999998</v>
      </c>
      <c r="H21" s="17">
        <f t="shared" si="4"/>
        <v>4851589.67</v>
      </c>
      <c r="I21" s="17">
        <f t="shared" si="4"/>
        <v>572530.51</v>
      </c>
    </row>
    <row r="22" spans="1:9" s="9" customFormat="1" ht="20.25" x14ac:dyDescent="0.2">
      <c r="A22" s="112" t="s">
        <v>5</v>
      </c>
      <c r="B22" s="113"/>
      <c r="C22" s="113"/>
      <c r="D22" s="113"/>
      <c r="E22" s="113"/>
      <c r="F22" s="113"/>
      <c r="G22" s="113"/>
      <c r="H22" s="113"/>
      <c r="I22" s="114"/>
    </row>
    <row r="23" spans="1:9" s="4" customFormat="1" ht="40.15" customHeight="1" x14ac:dyDescent="0.2">
      <c r="A23" s="21" t="s">
        <v>6</v>
      </c>
      <c r="B23" s="22">
        <v>769038.43000000017</v>
      </c>
      <c r="C23" s="22">
        <v>2552162.560000007</v>
      </c>
      <c r="D23" s="22">
        <v>2064959.1999999993</v>
      </c>
      <c r="E23" s="22">
        <v>2902506.46</v>
      </c>
      <c r="F23" s="22">
        <v>132409.32999999999</v>
      </c>
      <c r="G23" s="22">
        <v>3208384.82</v>
      </c>
      <c r="H23" s="22">
        <v>3061182.31</v>
      </c>
      <c r="I23" s="22">
        <v>344872.56</v>
      </c>
    </row>
    <row r="24" spans="1:9" s="4" customFormat="1" ht="40.15" customHeight="1" thickBot="1" x14ac:dyDescent="0.25">
      <c r="A24" s="23" t="s">
        <v>7</v>
      </c>
      <c r="B24" s="25">
        <v>678698.69099999999</v>
      </c>
      <c r="C24" s="25">
        <v>1158008.1599999974</v>
      </c>
      <c r="D24" s="25">
        <v>724399.14999999874</v>
      </c>
      <c r="E24" s="25">
        <v>1346347.72</v>
      </c>
      <c r="F24" s="25">
        <v>5019195.34</v>
      </c>
      <c r="G24" s="22">
        <v>2721338.94</v>
      </c>
      <c r="H24" s="22">
        <v>1790407.36</v>
      </c>
      <c r="I24" s="22">
        <v>227657.95</v>
      </c>
    </row>
    <row r="25" spans="1:9" s="11" customFormat="1" ht="40.15" customHeight="1" thickBot="1" x14ac:dyDescent="0.35">
      <c r="A25" s="12" t="s">
        <v>1</v>
      </c>
      <c r="B25" s="14">
        <f>B21-B17</f>
        <v>1217375.0770000003</v>
      </c>
      <c r="C25" s="14">
        <f t="shared" ref="C25:I25" si="5">C21-C17</f>
        <v>3051594.4400000004</v>
      </c>
      <c r="D25" s="14">
        <f t="shared" si="5"/>
        <v>2017589.0999999959</v>
      </c>
      <c r="E25" s="14">
        <f t="shared" si="5"/>
        <v>2246767.9899999998</v>
      </c>
      <c r="F25" s="14">
        <f t="shared" si="5"/>
        <v>2981586.09</v>
      </c>
      <c r="G25" s="14">
        <f t="shared" si="5"/>
        <v>4498690.0199999996</v>
      </c>
      <c r="H25" s="14">
        <f t="shared" si="5"/>
        <v>4425893.58</v>
      </c>
      <c r="I25" s="14">
        <f t="shared" si="5"/>
        <v>511194.43</v>
      </c>
    </row>
  </sheetData>
  <mergeCells count="2">
    <mergeCell ref="A1:I1"/>
    <mergeCell ref="A14:I14"/>
  </mergeCells>
  <printOptions horizontalCentered="1"/>
  <pageMargins left="0.19685039370078741" right="0.19685039370078741" top="0.39370078740157483" bottom="0.19685039370078741" header="0" footer="0"/>
  <pageSetup paperSize="9" scale="63" fitToHeight="2" orientation="landscape" r:id="rId1"/>
  <rowBreaks count="1" manualBreakCount="1">
    <brk id="13" max="8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0A5E8-5A0F-4840-B3A9-23C1ABF63FDB}">
  <sheetPr>
    <tabColor theme="1"/>
    <pageSetUpPr fitToPage="1"/>
  </sheetPr>
  <dimension ref="A1:I34"/>
  <sheetViews>
    <sheetView view="pageBreakPreview" topLeftCell="A22" zoomScale="70" zoomScaleNormal="100" zoomScaleSheetLayoutView="70" workbookViewId="0">
      <selection activeCell="G28" sqref="G28:G29"/>
    </sheetView>
  </sheetViews>
  <sheetFormatPr defaultColWidth="8.85546875" defaultRowHeight="12.75" x14ac:dyDescent="0.2"/>
  <cols>
    <col min="1" max="1" width="45.28515625" style="1" customWidth="1"/>
    <col min="2" max="2" width="14.7109375" style="55" customWidth="1"/>
    <col min="3" max="3" width="22.28515625" style="1" customWidth="1"/>
    <col min="4" max="4" width="22" style="1" customWidth="1"/>
    <col min="5" max="5" width="23.28515625" style="1" customWidth="1"/>
    <col min="6" max="6" width="14.42578125" style="1" bestFit="1" customWidth="1"/>
    <col min="7" max="7" width="25.140625" style="55" customWidth="1"/>
    <col min="8" max="16384" width="8.85546875" style="1"/>
  </cols>
  <sheetData>
    <row r="1" spans="1:7" s="29" customFormat="1" ht="105" customHeight="1" x14ac:dyDescent="0.2">
      <c r="A1" s="118" t="s">
        <v>27</v>
      </c>
      <c r="B1" s="118"/>
      <c r="C1" s="118"/>
      <c r="D1" s="118"/>
      <c r="E1" s="118"/>
      <c r="G1" s="75"/>
    </row>
    <row r="2" spans="1:7" ht="13.5" thickBot="1" x14ac:dyDescent="0.25"/>
    <row r="3" spans="1:7" s="2" customFormat="1" ht="59.45" customHeight="1" thickBot="1" x14ac:dyDescent="0.35">
      <c r="A3" s="26" t="s">
        <v>4</v>
      </c>
      <c r="B3" s="56" t="s">
        <v>15</v>
      </c>
      <c r="C3" s="27" t="s">
        <v>0</v>
      </c>
      <c r="D3" s="27" t="s">
        <v>8</v>
      </c>
      <c r="E3" s="28" t="s">
        <v>9</v>
      </c>
      <c r="G3" s="76"/>
    </row>
    <row r="4" spans="1:7" s="8" customFormat="1" ht="40.15" customHeight="1" x14ac:dyDescent="0.2">
      <c r="A4" s="15" t="s">
        <v>2</v>
      </c>
      <c r="B4" s="48">
        <f>SUM(B6:B9)</f>
        <v>753.47499999999991</v>
      </c>
      <c r="C4" s="16">
        <f>IF(ISERROR(D4/B4),0,D4/B4)</f>
        <v>4834.3504038090878</v>
      </c>
      <c r="D4" s="16">
        <f t="shared" ref="D4:E4" si="0">SUM(D6:D9)</f>
        <v>3642562.1705100518</v>
      </c>
      <c r="E4" s="17">
        <f t="shared" si="0"/>
        <v>4371074.6105100522</v>
      </c>
      <c r="G4" s="77"/>
    </row>
    <row r="5" spans="1:7" s="9" customFormat="1" ht="20.25" x14ac:dyDescent="0.2">
      <c r="A5" s="18" t="s">
        <v>5</v>
      </c>
      <c r="B5" s="49"/>
      <c r="C5" s="19"/>
      <c r="D5" s="19"/>
      <c r="E5" s="20"/>
      <c r="F5" s="8"/>
      <c r="G5" s="78"/>
    </row>
    <row r="6" spans="1:7" s="4" customFormat="1" ht="40.15" customHeight="1" x14ac:dyDescent="0.2">
      <c r="A6" s="21" t="s">
        <v>16</v>
      </c>
      <c r="B6" s="50">
        <f>ЖОВТЕНЬ_2025!B6+ЛИСТОПАД_2025!B6+ГРУДЕНЬ_2025!B6</f>
        <v>0</v>
      </c>
      <c r="C6" s="50" t="e">
        <f>D6/B6</f>
        <v>#DIV/0!</v>
      </c>
      <c r="D6" s="50">
        <f>ЖОВТЕНЬ_2025!D6+ЛИСТОПАД_2025!D6+ГРУДЕНЬ_2025!D6</f>
        <v>0</v>
      </c>
      <c r="E6" s="50">
        <f>ЖОВТЕНЬ_2025!E6+ЛИСТОПАД_2025!E6+ГРУДЕНЬ_2025!E6</f>
        <v>0</v>
      </c>
      <c r="F6" s="6"/>
      <c r="G6" s="70"/>
    </row>
    <row r="7" spans="1:7" s="4" customFormat="1" ht="40.15" customHeight="1" x14ac:dyDescent="0.2">
      <c r="A7" s="21" t="s">
        <v>6</v>
      </c>
      <c r="B7" s="50">
        <f>ЖОВТЕНЬ_2025!B7+ЛИСТОПАД_2025!B7+ГРУДЕНЬ_2025!B7</f>
        <v>99.499999999999972</v>
      </c>
      <c r="C7" s="50">
        <f t="shared" ref="C7:C9" si="1">D7/B7</f>
        <v>3652.5173869346536</v>
      </c>
      <c r="D7" s="50">
        <f>ЖОВТЕНЬ_2025!D7+ЛИСТОПАД_2025!D7+ГРУДЕНЬ_2025!D7</f>
        <v>363425.47999999794</v>
      </c>
      <c r="E7" s="50">
        <f>ЖОВТЕНЬ_2025!E7+ЛИСТОПАД_2025!E7+ГРУДЕНЬ_2025!E7</f>
        <v>436110.57999999792</v>
      </c>
      <c r="F7" s="6"/>
      <c r="G7" s="70"/>
    </row>
    <row r="8" spans="1:7" s="4" customFormat="1" ht="40.15" customHeight="1" thickBot="1" x14ac:dyDescent="0.25">
      <c r="A8" s="23" t="s">
        <v>7</v>
      </c>
      <c r="B8" s="51">
        <f>ЖОВТЕНЬ_2025!B8+ЛИСТОПАД_2025!B8+ГРУДЕНЬ_2025!B8</f>
        <v>273.8</v>
      </c>
      <c r="C8" s="51">
        <f t="shared" si="1"/>
        <v>2221.8463842220754</v>
      </c>
      <c r="D8" s="51">
        <f>ЖОВТЕНЬ_2025!D8+ЛИСТОПАД_2025!D8+ГРУДЕНЬ_2025!D8</f>
        <v>608341.54000000423</v>
      </c>
      <c r="E8" s="51">
        <f>ЖОВТЕНЬ_2025!E8+ЛИСТОПАД_2025!E8+ГРУДЕНЬ_2025!E8</f>
        <v>730009.85000000417</v>
      </c>
      <c r="F8" s="6"/>
      <c r="G8" s="70"/>
    </row>
    <row r="9" spans="1:7" s="4" customFormat="1" ht="40.15" customHeight="1" thickBot="1" x14ac:dyDescent="0.25">
      <c r="A9" s="37" t="s">
        <v>14</v>
      </c>
      <c r="B9" s="52">
        <f>ЖОВТЕНЬ_2025!B9+ЛИСТОПАД_2025!B9+ГРУДЕНЬ_2025!B9</f>
        <v>380.17500000000001</v>
      </c>
      <c r="C9" s="52">
        <f t="shared" si="1"/>
        <v>7025.1730137701052</v>
      </c>
      <c r="D9" s="52">
        <f>ЖОВТЕНЬ_2025!D9+ЛИСТОПАД_2025!D9+ГРУДЕНЬ_2025!D9</f>
        <v>2670795.1505100499</v>
      </c>
      <c r="E9" s="52">
        <f>ЖОВТЕНЬ_2025!E9+ЛИСТОПАД_2025!E9+ГРУДЕНЬ_2025!E9</f>
        <v>3204954.1805100502</v>
      </c>
      <c r="F9" s="6"/>
      <c r="G9" s="70"/>
    </row>
    <row r="10" spans="1:7" s="8" customFormat="1" ht="40.15" customHeight="1" x14ac:dyDescent="0.2">
      <c r="A10" s="15" t="s">
        <v>3</v>
      </c>
      <c r="B10" s="48">
        <f>SUM(B12:B14)</f>
        <v>605.39499999999998</v>
      </c>
      <c r="C10" s="16">
        <f>IF(ISERROR(D10/B10),0,D10/B10)</f>
        <v>10559.953187426981</v>
      </c>
      <c r="D10" s="16">
        <f t="shared" ref="D10:E10" si="2">SUM(D12:D14)</f>
        <v>6392942.8599023577</v>
      </c>
      <c r="E10" s="17">
        <f t="shared" si="2"/>
        <v>7671531.4299023589</v>
      </c>
      <c r="G10" s="77"/>
    </row>
    <row r="11" spans="1:7" s="9" customFormat="1" ht="20.25" x14ac:dyDescent="0.2">
      <c r="A11" s="18" t="s">
        <v>5</v>
      </c>
      <c r="B11" s="49"/>
      <c r="C11" s="19"/>
      <c r="D11" s="19"/>
      <c r="E11" s="20"/>
      <c r="F11" s="8"/>
      <c r="G11" s="78"/>
    </row>
    <row r="12" spans="1:7" s="4" customFormat="1" ht="40.15" customHeight="1" x14ac:dyDescent="0.2">
      <c r="A12" s="21" t="s">
        <v>6</v>
      </c>
      <c r="B12" s="50">
        <f>ЖОВТЕНЬ_2025!B12+ЛИСТОПАД_2025!B12+ГРУДЕНЬ_2025!B12</f>
        <v>223.5</v>
      </c>
      <c r="C12" s="50">
        <f t="shared" ref="C12:C14" si="3">D12/B12</f>
        <v>14012.018165548121</v>
      </c>
      <c r="D12" s="50">
        <f>ЖОВТЕНЬ_2025!D12+ЛИСТОПАД_2025!D12+ГРУДЕНЬ_2025!D12</f>
        <v>3131686.0600000052</v>
      </c>
      <c r="E12" s="50">
        <f>ЖОВТЕНЬ_2025!E12+ЛИСТОПАД_2025!E12+ГРУДЕНЬ_2025!E12</f>
        <v>3758023.2700000051</v>
      </c>
      <c r="F12" s="6"/>
      <c r="G12" s="70">
        <f>ROUND(D12/1000,5)</f>
        <v>3131.68606</v>
      </c>
    </row>
    <row r="13" spans="1:7" s="4" customFormat="1" ht="40.15" customHeight="1" thickBot="1" x14ac:dyDescent="0.25">
      <c r="A13" s="23" t="s">
        <v>7</v>
      </c>
      <c r="B13" s="51">
        <f>ЖОВТЕНЬ_2025!B13+ЛИСТОПАД_2025!B13+ГРУДЕНЬ_2025!B13</f>
        <v>148.30000000000001</v>
      </c>
      <c r="C13" s="51">
        <f t="shared" si="3"/>
        <v>10960.535198921127</v>
      </c>
      <c r="D13" s="51">
        <f>ЖОВТЕНЬ_2025!D13+ЛИСТОПАД_2025!D13+ГРУДЕНЬ_2025!D13</f>
        <v>1625447.3700000031</v>
      </c>
      <c r="E13" s="51">
        <f>ЖОВТЕНЬ_2025!E13+ЛИСТОПАД_2025!E13+ГРУДЕНЬ_2025!E13</f>
        <v>1950536.8400000031</v>
      </c>
      <c r="F13" s="6"/>
      <c r="G13" s="70">
        <f t="shared" ref="G13:G14" si="4">ROUND(D13/1000,5)</f>
        <v>1625.4473700000001</v>
      </c>
    </row>
    <row r="14" spans="1:7" s="4" customFormat="1" ht="40.15" customHeight="1" thickBot="1" x14ac:dyDescent="0.25">
      <c r="A14" s="37" t="s">
        <v>14</v>
      </c>
      <c r="B14" s="53">
        <f>ЖОВТЕНЬ_2025!B14+ЛИСТОПАД_2025!B14+ГРУДЕНЬ_2025!B14</f>
        <v>233.595</v>
      </c>
      <c r="C14" s="53">
        <f t="shared" si="3"/>
        <v>7002.7587486990305</v>
      </c>
      <c r="D14" s="53">
        <f>ЖОВТЕНЬ_2025!D14+ЛИСТОПАД_2025!D14+ГРУДЕНЬ_2025!D14</f>
        <v>1635809.4299023501</v>
      </c>
      <c r="E14" s="53">
        <f>ЖОВТЕНЬ_2025!E14+ЛИСТОПАД_2025!E14+ГРУДЕНЬ_2025!E14</f>
        <v>1962971.3199023502</v>
      </c>
      <c r="F14" s="6"/>
      <c r="G14" s="79">
        <f t="shared" si="4"/>
        <v>1635.80943</v>
      </c>
    </row>
    <row r="15" spans="1:7" s="11" customFormat="1" ht="40.15" customHeight="1" thickBot="1" x14ac:dyDescent="0.35">
      <c r="A15" s="12" t="s">
        <v>1</v>
      </c>
      <c r="B15" s="54">
        <f>B10-B4</f>
        <v>-148.07999999999993</v>
      </c>
      <c r="C15" s="13">
        <f>C10-C4</f>
        <v>5725.6027836178937</v>
      </c>
      <c r="D15" s="13">
        <f>D10-D4</f>
        <v>2750380.6893923059</v>
      </c>
      <c r="E15" s="14">
        <f>E10-E4</f>
        <v>3300456.8193923067</v>
      </c>
      <c r="G15" s="80"/>
    </row>
    <row r="17" spans="1:9" s="29" customFormat="1" ht="105" customHeight="1" x14ac:dyDescent="0.2">
      <c r="A17" s="118" t="s">
        <v>28</v>
      </c>
      <c r="B17" s="118"/>
      <c r="C17" s="118"/>
      <c r="D17" s="118"/>
      <c r="E17" s="118"/>
      <c r="G17" s="75"/>
    </row>
    <row r="18" spans="1:9" ht="13.5" thickBot="1" x14ac:dyDescent="0.25"/>
    <row r="19" spans="1:9" s="2" customFormat="1" ht="59.45" customHeight="1" thickBot="1" x14ac:dyDescent="0.35">
      <c r="A19" s="26" t="s">
        <v>4</v>
      </c>
      <c r="B19" s="56" t="s">
        <v>15</v>
      </c>
      <c r="C19" s="27" t="s">
        <v>0</v>
      </c>
      <c r="D19" s="27" t="s">
        <v>8</v>
      </c>
      <c r="E19" s="28" t="s">
        <v>9</v>
      </c>
      <c r="G19" s="76"/>
    </row>
    <row r="20" spans="1:9" s="8" customFormat="1" ht="40.15" customHeight="1" x14ac:dyDescent="0.2">
      <c r="A20" s="15" t="s">
        <v>2</v>
      </c>
      <c r="B20" s="48">
        <f>SUM(B22:B25)</f>
        <v>1004.7600000000002</v>
      </c>
      <c r="C20" s="16">
        <f>IF(ISERROR(D20/B20),0,D20/B20)</f>
        <v>4652.1147181151764</v>
      </c>
      <c r="D20" s="16">
        <f t="shared" ref="D20:E20" si="5">SUM(D22:D25)</f>
        <v>4674258.7841734057</v>
      </c>
      <c r="E20" s="17">
        <f t="shared" si="5"/>
        <v>5609110.5341734057</v>
      </c>
      <c r="G20" s="77"/>
    </row>
    <row r="21" spans="1:9" s="9" customFormat="1" ht="20.25" x14ac:dyDescent="0.2">
      <c r="A21" s="18" t="s">
        <v>5</v>
      </c>
      <c r="B21" s="49"/>
      <c r="C21" s="19"/>
      <c r="D21" s="19"/>
      <c r="E21" s="20"/>
      <c r="F21" s="8"/>
      <c r="G21" s="78"/>
    </row>
    <row r="22" spans="1:9" s="4" customFormat="1" ht="40.15" customHeight="1" x14ac:dyDescent="0.2">
      <c r="A22" s="21" t="s">
        <v>16</v>
      </c>
      <c r="B22" s="50">
        <f>ЖОВТЕНЬ_2025!B22+ЛИСТОПАД_2025!B22+ГРУДЕНЬ_2025!B22</f>
        <v>0</v>
      </c>
      <c r="C22" s="3" t="e">
        <f t="shared" ref="C22:C25" si="6">D22/B22</f>
        <v>#DIV/0!</v>
      </c>
      <c r="D22" s="3">
        <f>ЖОВТЕНЬ_2025!D22+ЛИСТОПАД_2025!D22+ГРУДЕНЬ_2025!D22</f>
        <v>0</v>
      </c>
      <c r="E22" s="22">
        <f>ЖОВТЕНЬ_2025!E22+ЛИСТОПАД_2025!E22+ГРУДЕНЬ_2025!E22</f>
        <v>0</v>
      </c>
      <c r="F22" s="6"/>
      <c r="G22" s="70"/>
    </row>
    <row r="23" spans="1:9" s="4" customFormat="1" ht="40.15" customHeight="1" x14ac:dyDescent="0.2">
      <c r="A23" s="21" t="s">
        <v>6</v>
      </c>
      <c r="B23" s="50">
        <f>ЖОВТЕНЬ_2025!B23+ЛИСТОПАД_2025!B23+ГРУДЕНЬ_2025!B23</f>
        <v>138.80000000000001</v>
      </c>
      <c r="C23" s="3">
        <f t="shared" si="6"/>
        <v>3669.147694524499</v>
      </c>
      <c r="D23" s="3">
        <f>ЖОВТЕНЬ_2025!D23+ЛИСТОПАД_2025!D23+ГРУДЕНЬ_2025!D23</f>
        <v>509277.70000000048</v>
      </c>
      <c r="E23" s="22">
        <f>ЖОВТЕНЬ_2025!E23+ЛИСТОПАД_2025!E23+ГРУДЕНЬ_2025!E23</f>
        <v>611133.24000000046</v>
      </c>
      <c r="F23" s="6"/>
      <c r="G23" s="70"/>
    </row>
    <row r="24" spans="1:9" s="4" customFormat="1" ht="40.15" customHeight="1" thickBot="1" x14ac:dyDescent="0.25">
      <c r="A24" s="23" t="s">
        <v>7</v>
      </c>
      <c r="B24" s="51">
        <f>ЖОВТЕНЬ_2025!B24+ЛИСТОПАД_2025!B24+ГРУДЕНЬ_2025!B24</f>
        <v>383.00000000000011</v>
      </c>
      <c r="C24" s="24">
        <f t="shared" si="6"/>
        <v>2283.669148825079</v>
      </c>
      <c r="D24" s="24">
        <f>ЖОВТЕНЬ_2025!D24+ЛИСТОПАД_2025!D24+ГРУДЕНЬ_2025!D24</f>
        <v>874645.28400000557</v>
      </c>
      <c r="E24" s="25">
        <f>ЖОВТЕНЬ_2025!E24+ЛИСТОПАД_2025!E24+ГРУДЕНЬ_2025!E24</f>
        <v>1049574.3340000054</v>
      </c>
      <c r="F24" s="6"/>
      <c r="G24" s="70"/>
    </row>
    <row r="25" spans="1:9" s="4" customFormat="1" ht="40.15" customHeight="1" thickBot="1" x14ac:dyDescent="0.25">
      <c r="A25" s="37" t="s">
        <v>14</v>
      </c>
      <c r="B25" s="52">
        <f>ЖОВТЕНЬ_2025!B25+ЛИСТОПАД_2025!B25+ГРУДЕНЬ_2025!B25</f>
        <v>482.96000000000004</v>
      </c>
      <c r="C25" s="38">
        <f t="shared" si="6"/>
        <v>6812.8536528354307</v>
      </c>
      <c r="D25" s="38">
        <f>ЖОВТЕНЬ_2025!D25+ЛИСТОПАД_2025!D25+ГРУДЕНЬ_2025!D25</f>
        <v>3290335.8001734</v>
      </c>
      <c r="E25" s="39">
        <f>ЖОВТЕНЬ_2025!E25+ЛИСТОПАД_2025!E25+ГРУДЕНЬ_2025!E25</f>
        <v>3948402.9601734001</v>
      </c>
      <c r="F25" s="6"/>
      <c r="G25" s="70"/>
    </row>
    <row r="26" spans="1:9" s="8" customFormat="1" ht="40.15" customHeight="1" x14ac:dyDescent="0.2">
      <c r="A26" s="15" t="s">
        <v>3</v>
      </c>
      <c r="B26" s="48">
        <f>SUM(B28:B30)</f>
        <v>811.56000000000006</v>
      </c>
      <c r="C26" s="16">
        <f t="shared" ref="C26" si="7">IF(ISERROR(D26/B26),0,D26/B26)</f>
        <v>10893.065542478045</v>
      </c>
      <c r="D26" s="16">
        <f t="shared" ref="D26:E26" si="8">SUM(D28:D30)</f>
        <v>8840376.2716534827</v>
      </c>
      <c r="E26" s="17">
        <f t="shared" si="8"/>
        <v>10608451.541653484</v>
      </c>
      <c r="G26" s="77"/>
      <c r="I26" s="4"/>
    </row>
    <row r="27" spans="1:9" s="9" customFormat="1" ht="20.25" x14ac:dyDescent="0.2">
      <c r="A27" s="18" t="s">
        <v>5</v>
      </c>
      <c r="B27" s="49"/>
      <c r="C27" s="19"/>
      <c r="D27" s="19"/>
      <c r="E27" s="20"/>
      <c r="F27" s="8"/>
      <c r="G27" s="78"/>
    </row>
    <row r="28" spans="1:9" s="4" customFormat="1" ht="40.15" customHeight="1" x14ac:dyDescent="0.2">
      <c r="A28" s="21" t="s">
        <v>6</v>
      </c>
      <c r="B28" s="50">
        <f>ЖОВТЕНЬ_2025!B28+ЛИСТОПАД_2025!B28+ГРУДЕНЬ_2025!B28</f>
        <v>321.00000000000006</v>
      </c>
      <c r="C28" s="3">
        <f t="shared" ref="C28:C30" si="9">D28/B28</f>
        <v>13982.762679127742</v>
      </c>
      <c r="D28" s="3">
        <f>ЖОВТЕНЬ_2025!D28+ЛИСТОПАД_2025!D28+ГРУДЕНЬ_2025!D28</f>
        <v>4488466.8200000059</v>
      </c>
      <c r="E28" s="22">
        <f>ЖОВТЕНЬ_2025!E28+ЛИСТОПАД_2025!E28+ГРУДЕНЬ_2025!E28</f>
        <v>5386160.1900000069</v>
      </c>
      <c r="F28" s="6"/>
      <c r="G28" s="70">
        <f t="shared" ref="G28:G30" si="10">ROUND(D28/1000,5)</f>
        <v>4488.4668199999996</v>
      </c>
    </row>
    <row r="29" spans="1:9" s="4" customFormat="1" ht="40.15" customHeight="1" thickBot="1" x14ac:dyDescent="0.25">
      <c r="A29" s="23" t="s">
        <v>7</v>
      </c>
      <c r="B29" s="51">
        <f>ЖОВТЕНЬ_2025!B29+ЛИСТОПАД_2025!B29+ГРУДЕНЬ_2025!B29</f>
        <v>193.40000000000003</v>
      </c>
      <c r="C29" s="24">
        <f t="shared" si="9"/>
        <v>11035.444679420867</v>
      </c>
      <c r="D29" s="24">
        <f>ЖОВТЕНЬ_2025!D29+ЛИСТОПАД_2025!D29+ГРУДЕНЬ_2025!D29</f>
        <v>2134255.000999996</v>
      </c>
      <c r="E29" s="25">
        <f>ЖОВТЕНЬ_2025!E29+ЛИСТОПАД_2025!E29+ГРУДЕНЬ_2025!E29</f>
        <v>2561106.0009999964</v>
      </c>
      <c r="F29" s="6"/>
      <c r="G29" s="70">
        <f t="shared" si="10"/>
        <v>2134.2550000000001</v>
      </c>
    </row>
    <row r="30" spans="1:9" s="4" customFormat="1" ht="40.15" customHeight="1" thickBot="1" x14ac:dyDescent="0.25">
      <c r="A30" s="37" t="s">
        <v>14</v>
      </c>
      <c r="B30" s="53">
        <f>ЖОВТЕНЬ_2025!B30+ЛИСТОПАД_2025!B30+ГРУДЕНЬ_2025!B30</f>
        <v>297.15999999999997</v>
      </c>
      <c r="C30" s="40">
        <f t="shared" si="9"/>
        <v>7462.8296226056018</v>
      </c>
      <c r="D30" s="40">
        <f>ЖОВТЕНЬ_2025!D30+ЛИСТОПАД_2025!D30+ГРУДЕНЬ_2025!D30</f>
        <v>2217654.4506534804</v>
      </c>
      <c r="E30" s="41">
        <f>ЖОВТЕНЬ_2025!E30+ЛИСТОПАД_2025!E30+ГРУДЕНЬ_2025!E30</f>
        <v>2661185.3506534798</v>
      </c>
      <c r="F30" s="6"/>
      <c r="G30" s="79">
        <f t="shared" si="10"/>
        <v>2217.65445</v>
      </c>
    </row>
    <row r="31" spans="1:9" s="11" customFormat="1" ht="40.15" customHeight="1" thickBot="1" x14ac:dyDescent="0.35">
      <c r="A31" s="12" t="s">
        <v>1</v>
      </c>
      <c r="B31" s="54">
        <f>B26-B20</f>
        <v>-193.20000000000016</v>
      </c>
      <c r="C31" s="13">
        <f>C26-C20</f>
        <v>6240.9508243628688</v>
      </c>
      <c r="D31" s="13">
        <f>D26-D20</f>
        <v>4166117.487480077</v>
      </c>
      <c r="E31" s="14">
        <f>E26-E20</f>
        <v>4999341.0074800784</v>
      </c>
      <c r="G31" s="80"/>
    </row>
    <row r="34" spans="5:5" x14ac:dyDescent="0.2">
      <c r="E34" s="30"/>
    </row>
  </sheetData>
  <mergeCells count="2">
    <mergeCell ref="A1:E1"/>
    <mergeCell ref="A17:E17"/>
  </mergeCells>
  <printOptions horizontalCentered="1"/>
  <pageMargins left="0.19685039370078741" right="0.19685039370078741" top="0.39370078740157483" bottom="0.19685039370078741" header="0" footer="0"/>
  <pageSetup paperSize="9" scale="89" fitToHeight="2" orientation="landscape" r:id="rId1"/>
  <rowBreaks count="1" manualBreakCount="1">
    <brk id="16" max="4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53800-06DD-4AFF-8293-CB257C2C7881}">
  <sheetPr>
    <tabColor rgb="FFC00000"/>
    <pageSetUpPr fitToPage="1"/>
  </sheetPr>
  <dimension ref="A1:G34"/>
  <sheetViews>
    <sheetView view="pageBreakPreview" topLeftCell="A20" zoomScale="55" zoomScaleNormal="100" zoomScaleSheetLayoutView="55" workbookViewId="0">
      <selection activeCell="G28" sqref="G28:G29"/>
    </sheetView>
  </sheetViews>
  <sheetFormatPr defaultColWidth="8.85546875" defaultRowHeight="12.75" x14ac:dyDescent="0.2"/>
  <cols>
    <col min="1" max="1" width="45.28515625" style="1" customWidth="1"/>
    <col min="2" max="2" width="14.7109375" style="55" customWidth="1"/>
    <col min="3" max="3" width="22.28515625" style="1" customWidth="1"/>
    <col min="4" max="4" width="22" style="1" customWidth="1"/>
    <col min="5" max="5" width="23.28515625" style="1" customWidth="1"/>
    <col min="6" max="6" width="14.42578125" style="1" bestFit="1" customWidth="1"/>
    <col min="7" max="7" width="27" style="55" customWidth="1"/>
    <col min="8" max="16384" width="8.85546875" style="1"/>
  </cols>
  <sheetData>
    <row r="1" spans="1:7" s="29" customFormat="1" ht="105" customHeight="1" x14ac:dyDescent="0.2">
      <c r="A1" s="118" t="s">
        <v>27</v>
      </c>
      <c r="B1" s="118"/>
      <c r="C1" s="118"/>
      <c r="D1" s="118"/>
      <c r="E1" s="118"/>
      <c r="G1" s="75"/>
    </row>
    <row r="2" spans="1:7" ht="13.5" thickBot="1" x14ac:dyDescent="0.25"/>
    <row r="3" spans="1:7" s="2" customFormat="1" ht="59.45" customHeight="1" thickBot="1" x14ac:dyDescent="0.35">
      <c r="A3" s="26" t="s">
        <v>4</v>
      </c>
      <c r="B3" s="56" t="s">
        <v>15</v>
      </c>
      <c r="C3" s="27" t="s">
        <v>0</v>
      </c>
      <c r="D3" s="27" t="s">
        <v>8</v>
      </c>
      <c r="E3" s="28" t="s">
        <v>9</v>
      </c>
      <c r="G3" s="76"/>
    </row>
    <row r="4" spans="1:7" s="8" customFormat="1" ht="40.15" customHeight="1" x14ac:dyDescent="0.2">
      <c r="A4" s="15" t="s">
        <v>2</v>
      </c>
      <c r="B4" s="48">
        <f>SUM(B6:B9)</f>
        <v>1179.8200000000002</v>
      </c>
      <c r="C4" s="16">
        <f>IF(ISERROR(D4/B4),0,D4/B4)</f>
        <v>5391.2217614737465</v>
      </c>
      <c r="D4" s="16">
        <f t="shared" ref="D4:E4" si="0">SUM(D6:D9)</f>
        <v>6360671.2586219562</v>
      </c>
      <c r="E4" s="17">
        <f t="shared" si="0"/>
        <v>7632805.5287694521</v>
      </c>
      <c r="G4" s="77"/>
    </row>
    <row r="5" spans="1:7" s="9" customFormat="1" ht="20.25" x14ac:dyDescent="0.2">
      <c r="A5" s="18" t="s">
        <v>5</v>
      </c>
      <c r="B5" s="49"/>
      <c r="C5" s="19"/>
      <c r="D5" s="19"/>
      <c r="E5" s="20"/>
      <c r="F5" s="8"/>
      <c r="G5" s="78"/>
    </row>
    <row r="6" spans="1:7" s="4" customFormat="1" ht="40.15" customHeight="1" x14ac:dyDescent="0.2">
      <c r="A6" s="21" t="s">
        <v>16</v>
      </c>
      <c r="B6" s="50">
        <f>ВЕРЕСЕНЬ_2025!B6+ЖОВТЕНЬ_2025!B6+ЛИСТОПАД_2025!B6+ГРУДЕНЬ_2025!B6+СІЧЕНЬ_2026!B6</f>
        <v>37.26</v>
      </c>
      <c r="C6" s="50">
        <f>D6/B6</f>
        <v>6155.3149599999997</v>
      </c>
      <c r="D6" s="50">
        <f>ВЕРЕСЕНЬ_2025!D6+ЖОВТЕНЬ_2025!D6+ЛИСТОПАД_2025!D6+ГРУДЕНЬ_2025!D6+СІЧЕНЬ_2026!D6</f>
        <v>229347.03540959998</v>
      </c>
      <c r="E6" s="50">
        <f>ВЕРЕСЕНЬ_2025!E6+ЖОВТЕНЬ_2025!E6+ЛИСТОПАД_2025!E6+ГРУДЕНЬ_2025!E6+СІЧЕНЬ_2026!E6</f>
        <v>275216.44540959998</v>
      </c>
      <c r="F6" s="6"/>
      <c r="G6" s="70"/>
    </row>
    <row r="7" spans="1:7" s="4" customFormat="1" ht="40.15" customHeight="1" x14ac:dyDescent="0.2">
      <c r="A7" s="21" t="s">
        <v>6</v>
      </c>
      <c r="B7" s="50">
        <f>ВЕРЕСЕНЬ_2025!B7+ЖОВТЕНЬ_2025!B7+ЛИСТОПАД_2025!B7+ГРУДЕНЬ_2025!B7+СІЧЕНЬ_2026!B7</f>
        <v>243.29999999999998</v>
      </c>
      <c r="C7" s="50">
        <f t="shared" ref="C7:C9" si="1">D7/B7</f>
        <v>4617.5242909987883</v>
      </c>
      <c r="D7" s="50">
        <f>ВЕРЕСЕНЬ_2025!D7+ЖОВТЕНЬ_2025!D7+ЛИСТОПАД_2025!D7+ГРУДЕНЬ_2025!D7+СІЧЕНЬ_2026!D7</f>
        <v>1123443.660000005</v>
      </c>
      <c r="E7" s="50">
        <f>ВЕРЕСЕНЬ_2025!E7+ЖОВТЕНЬ_2025!E7+ЛИСТОПАД_2025!E7+ГРУДЕНЬ_2025!E7+СІЧЕНЬ_2026!E7</f>
        <v>1348132.3999999978</v>
      </c>
      <c r="F7" s="6"/>
      <c r="G7" s="70"/>
    </row>
    <row r="8" spans="1:7" s="4" customFormat="1" ht="40.15" customHeight="1" thickBot="1" x14ac:dyDescent="0.25">
      <c r="A8" s="23" t="s">
        <v>7</v>
      </c>
      <c r="B8" s="51">
        <f>ВЕРЕСЕНЬ_2025!B8+ЖОВТЕНЬ_2025!B8+ЛИСТОПАД_2025!B8+ГРУДЕНЬ_2025!B8+СІЧЕНЬ_2026!B8</f>
        <v>339.6</v>
      </c>
      <c r="C8" s="51">
        <f t="shared" si="1"/>
        <v>2935.3250294464106</v>
      </c>
      <c r="D8" s="51">
        <f>ВЕРЕСЕНЬ_2025!D8+ЖОВТЕНЬ_2025!D8+ЛИСТОПАД_2025!D8+ГРУДЕНЬ_2025!D8+СІЧЕНЬ_2026!D8</f>
        <v>996836.38000000105</v>
      </c>
      <c r="E8" s="51">
        <f>ВЕРЕСЕНЬ_2025!E8+ЖОВТЕНЬ_2025!E8+ЛИСТОПАД_2025!E8+ГРУДЕНЬ_2025!E8+СІЧЕНЬ_2026!E8</f>
        <v>1196203.6600000041</v>
      </c>
      <c r="F8" s="6"/>
      <c r="G8" s="70"/>
    </row>
    <row r="9" spans="1:7" s="4" customFormat="1" ht="40.15" customHeight="1" thickBot="1" x14ac:dyDescent="0.25">
      <c r="A9" s="37" t="s">
        <v>14</v>
      </c>
      <c r="B9" s="52">
        <f>ВЕРЕСЕНЬ_2025!B9+ЖОВТЕНЬ_2025!B9+ЛИСТОПАД_2025!B9+ГРУДЕНЬ_2025!B9+СІЧЕНЬ_2026!B9</f>
        <v>559.66000000000008</v>
      </c>
      <c r="C9" s="52">
        <f t="shared" si="1"/>
        <v>7166.9302491018643</v>
      </c>
      <c r="D9" s="52">
        <f>ВЕРЕСЕНЬ_2025!D9+ЖОВТЕНЬ_2025!D9+ЛИСТОПАД_2025!D9+ГРУДЕНЬ_2025!D9+СІЧЕНЬ_2026!D9</f>
        <v>4011044.1832123501</v>
      </c>
      <c r="E9" s="52">
        <f>ВЕРЕСЕНЬ_2025!E9+ЖОВТЕНЬ_2025!E9+ЛИСТОПАД_2025!E9+ГРУДЕНЬ_2025!E9+СІЧЕНЬ_2026!E9</f>
        <v>4813253.02335985</v>
      </c>
      <c r="F9" s="6"/>
      <c r="G9" s="70"/>
    </row>
    <row r="10" spans="1:7" s="8" customFormat="1" ht="40.15" customHeight="1" x14ac:dyDescent="0.2">
      <c r="A10" s="15" t="s">
        <v>3</v>
      </c>
      <c r="B10" s="48">
        <f>SUM(B12:B14)</f>
        <v>919.62999999999988</v>
      </c>
      <c r="C10" s="16">
        <f>IF(ISERROR(D10/B10),0,D10/B10)</f>
        <v>10619.592072374335</v>
      </c>
      <c r="D10" s="16">
        <f t="shared" ref="D10:E10" si="2">SUM(D12:D14)</f>
        <v>9766095.457517609</v>
      </c>
      <c r="E10" s="17">
        <f t="shared" si="2"/>
        <v>11719314.547402609</v>
      </c>
      <c r="G10" s="77"/>
    </row>
    <row r="11" spans="1:7" s="9" customFormat="1" ht="20.25" x14ac:dyDescent="0.2">
      <c r="A11" s="18" t="s">
        <v>5</v>
      </c>
      <c r="B11" s="49"/>
      <c r="C11" s="19"/>
      <c r="D11" s="19"/>
      <c r="E11" s="20"/>
      <c r="F11" s="8"/>
      <c r="G11" s="78"/>
    </row>
    <row r="12" spans="1:7" s="4" customFormat="1" ht="40.15" customHeight="1" x14ac:dyDescent="0.2">
      <c r="A12" s="21" t="s">
        <v>6</v>
      </c>
      <c r="B12" s="50">
        <f>ВЕРЕСЕНЬ_2025!B12+ЖОВТЕНЬ_2025!B12+ЛИСТОПАД_2025!B12+ГРУДЕНЬ_2025!B12+СІЧЕНЬ_2026!B12</f>
        <v>351.4</v>
      </c>
      <c r="C12" s="50">
        <f t="shared" ref="C12:C14" si="3">D12/B12</f>
        <v>13683.904980079698</v>
      </c>
      <c r="D12" s="50">
        <f>ВЕРЕСЕНЬ_2025!D12+ЖОВТЕНЬ_2025!D12+ЛИСТОПАД_2025!D12+ГРУДЕНЬ_2025!D12+СІЧЕНЬ_2026!D12</f>
        <v>4808524.2100000056</v>
      </c>
      <c r="E12" s="50">
        <f>ВЕРЕСЕНЬ_2025!E12+ЖОВТЕНЬ_2025!E12+ЛИСТОПАД_2025!E12+ГРУДЕНЬ_2025!E12+СІЧЕНЬ_2026!E12</f>
        <v>5770229.0500000054</v>
      </c>
      <c r="F12" s="6"/>
      <c r="G12" s="70">
        <f>ROUND(D12/1000,5)</f>
        <v>4808.5242099999996</v>
      </c>
    </row>
    <row r="13" spans="1:7" s="4" customFormat="1" ht="40.15" customHeight="1" thickBot="1" x14ac:dyDescent="0.25">
      <c r="A13" s="23" t="s">
        <v>7</v>
      </c>
      <c r="B13" s="51">
        <f>ВЕРЕСЕНЬ_2025!B13+ЖОВТЕНЬ_2025!B13+ЛИСТОПАД_2025!B13+ГРУДЕНЬ_2025!B13+СІЧЕНЬ_2026!B13</f>
        <v>215.4</v>
      </c>
      <c r="C13" s="51">
        <f t="shared" si="3"/>
        <v>11504.7872330548</v>
      </c>
      <c r="D13" s="51">
        <f>ВЕРЕСЕНЬ_2025!D13+ЖОВТЕНЬ_2025!D13+ЛИСТОПАД_2025!D13+ГРУДЕНЬ_2025!D13+СІЧЕНЬ_2026!D13</f>
        <v>2478131.1700000041</v>
      </c>
      <c r="E13" s="51">
        <f>ВЕРЕСЕНЬ_2025!E13+ЖОВТЕНЬ_2025!E13+ЛИСТОПАД_2025!E13+ГРУДЕНЬ_2025!E13+СІЧЕНЬ_2026!E13</f>
        <v>2973757.4000000032</v>
      </c>
      <c r="F13" s="6"/>
      <c r="G13" s="70">
        <f t="shared" ref="G13:G14" si="4">ROUND(D13/1000,5)</f>
        <v>2478.1311700000001</v>
      </c>
    </row>
    <row r="14" spans="1:7" s="4" customFormat="1" ht="40.15" customHeight="1" thickBot="1" x14ac:dyDescent="0.25">
      <c r="A14" s="37" t="s">
        <v>14</v>
      </c>
      <c r="B14" s="53">
        <f>ВЕРЕСЕНЬ_2025!B14+ЖОВТЕНЬ_2025!B14+ЛИСТОПАД_2025!B14+ГРУДЕНЬ_2025!B14+СІЧЕНЬ_2026!B14</f>
        <v>352.83</v>
      </c>
      <c r="C14" s="53">
        <f t="shared" si="3"/>
        <v>7027.2938171856131</v>
      </c>
      <c r="D14" s="53">
        <f>ВЕРЕСЕНЬ_2025!D14+ЖОВТЕНЬ_2025!D14+ЛИСТОПАД_2025!D14+ГРУДЕНЬ_2025!D14+СІЧЕНЬ_2026!D14</f>
        <v>2479440.0775175998</v>
      </c>
      <c r="E14" s="53">
        <f>ВЕРЕСЕНЬ_2025!E14+ЖОВТЕНЬ_2025!E14+ЛИСТОПАД_2025!E14+ГРУДЕНЬ_2025!E14+СІЧЕНЬ_2026!E14</f>
        <v>2975328.0974026001</v>
      </c>
      <c r="F14" s="6"/>
      <c r="G14" s="79">
        <f t="shared" si="4"/>
        <v>2479.4400799999999</v>
      </c>
    </row>
    <row r="15" spans="1:7" s="11" customFormat="1" ht="40.15" customHeight="1" thickBot="1" x14ac:dyDescent="0.35">
      <c r="A15" s="12" t="s">
        <v>1</v>
      </c>
      <c r="B15" s="54">
        <f>B10-B4</f>
        <v>-260.19000000000028</v>
      </c>
      <c r="C15" s="13">
        <f>C10-C4</f>
        <v>5228.3703109005883</v>
      </c>
      <c r="D15" s="13">
        <f>D10-D4</f>
        <v>3405424.1988956528</v>
      </c>
      <c r="E15" s="14">
        <f>E10-E4</f>
        <v>4086509.018633157</v>
      </c>
      <c r="G15" s="80"/>
    </row>
    <row r="17" spans="1:7" s="29" customFormat="1" ht="105" customHeight="1" x14ac:dyDescent="0.2">
      <c r="A17" s="118" t="s">
        <v>28</v>
      </c>
      <c r="B17" s="118"/>
      <c r="C17" s="118"/>
      <c r="D17" s="118"/>
      <c r="E17" s="118"/>
      <c r="G17" s="75"/>
    </row>
    <row r="18" spans="1:7" ht="13.5" thickBot="1" x14ac:dyDescent="0.25"/>
    <row r="19" spans="1:7" s="2" customFormat="1" ht="59.45" customHeight="1" thickBot="1" x14ac:dyDescent="0.35">
      <c r="A19" s="26" t="s">
        <v>4</v>
      </c>
      <c r="B19" s="56" t="s">
        <v>15</v>
      </c>
      <c r="C19" s="27" t="s">
        <v>0</v>
      </c>
      <c r="D19" s="27" t="s">
        <v>8</v>
      </c>
      <c r="E19" s="28" t="s">
        <v>9</v>
      </c>
      <c r="G19" s="76"/>
    </row>
    <row r="20" spans="1:7" s="8" customFormat="1" ht="40.15" customHeight="1" x14ac:dyDescent="0.2">
      <c r="A20" s="15" t="s">
        <v>2</v>
      </c>
      <c r="B20" s="48">
        <f>SUM(B22:B25)</f>
        <v>1723.6000000000001</v>
      </c>
      <c r="C20" s="16">
        <f>IF(ISERROR(D20/B20),0,D20/B20)</f>
        <v>5222.0120748995405</v>
      </c>
      <c r="D20" s="16">
        <f t="shared" ref="D20:E20" si="5">SUM(D22:D25)</f>
        <v>9000660.012296848</v>
      </c>
      <c r="E20" s="17">
        <f t="shared" si="5"/>
        <v>10800792.001841886</v>
      </c>
      <c r="G20" s="77"/>
    </row>
    <row r="21" spans="1:7" s="9" customFormat="1" ht="20.25" x14ac:dyDescent="0.2">
      <c r="A21" s="18" t="s">
        <v>5</v>
      </c>
      <c r="B21" s="49"/>
      <c r="C21" s="19"/>
      <c r="D21" s="19"/>
      <c r="E21" s="20"/>
      <c r="F21" s="8"/>
      <c r="G21" s="78"/>
    </row>
    <row r="22" spans="1:7" s="4" customFormat="1" ht="40.15" customHeight="1" x14ac:dyDescent="0.2">
      <c r="A22" s="21" t="s">
        <v>16</v>
      </c>
      <c r="B22" s="50">
        <f>ВЕРЕСЕНЬ_2025!B22+ЖОВТЕНЬ_2025!B22+ЛИСТОПАД_2025!B22+ГРУДЕНЬ_2025!B22+СІЧЕНЬ_2026!B22</f>
        <v>24.096</v>
      </c>
      <c r="C22" s="3">
        <f t="shared" ref="C22:C25" si="6">D22/B22</f>
        <v>6413.1897099999996</v>
      </c>
      <c r="D22" s="3">
        <f>ВЕРЕСЕНЬ_2025!D22+ЖОВТЕНЬ_2025!D22+ЛИСТОПАД_2025!D22+ГРУДЕНЬ_2025!D22+СІЧЕНЬ_2026!D22</f>
        <v>154532.21925215999</v>
      </c>
      <c r="E22" s="22">
        <f>ВЕРЕСЕНЬ_2025!E22+ЖОВТЕНЬ_2025!E22+ЛИСТОПАД_2025!E22+ГРУДЕНЬ_2025!E22+СІЧЕНЬ_2026!E22</f>
        <v>185438.65925216</v>
      </c>
      <c r="F22" s="6"/>
      <c r="G22" s="70"/>
    </row>
    <row r="23" spans="1:7" s="4" customFormat="1" ht="40.15" customHeight="1" x14ac:dyDescent="0.2">
      <c r="A23" s="21" t="s">
        <v>6</v>
      </c>
      <c r="B23" s="50">
        <f>ВЕРЕСЕНЬ_2025!B23+ЖОВТЕНЬ_2025!B23+ЛИСТОПАД_2025!B23+ГРУДЕНЬ_2025!B23+СІЧЕНЬ_2026!B23</f>
        <v>346</v>
      </c>
      <c r="C23" s="3">
        <f t="shared" si="6"/>
        <v>4656.5979768786201</v>
      </c>
      <c r="D23" s="3">
        <f>ВЕРЕСЕНЬ_2025!D23+ЖОВТЕНЬ_2025!D23+ЛИСТОПАД_2025!D23+ГРУДЕНЬ_2025!D23+СІЧЕНЬ_2026!D23</f>
        <v>1611182.9000000025</v>
      </c>
      <c r="E23" s="22">
        <f>ВЕРЕСЕНЬ_2025!E23+ЖОВТЕНЬ_2025!E23+ЛИСТОПАД_2025!E23+ГРУДЕНЬ_2025!E23+СІЧЕНЬ_2026!E23</f>
        <v>1933419.4800000004</v>
      </c>
      <c r="F23" s="6"/>
      <c r="G23" s="70"/>
    </row>
    <row r="24" spans="1:7" s="4" customFormat="1" ht="40.15" customHeight="1" thickBot="1" x14ac:dyDescent="0.25">
      <c r="A24" s="23" t="s">
        <v>7</v>
      </c>
      <c r="B24" s="51">
        <f>ВЕРЕСЕНЬ_2025!B24+ЖОВТЕНЬ_2025!B24+ЛИСТОПАД_2025!B24+ГРУДЕНЬ_2025!B24+СІЧЕНЬ_2026!B24</f>
        <v>476.60000000000014</v>
      </c>
      <c r="C24" s="24">
        <f t="shared" si="6"/>
        <v>3023.8045404951849</v>
      </c>
      <c r="D24" s="24">
        <f>ВЕРЕСЕНЬ_2025!D24+ЖОВТЕНЬ_2025!D24+ЛИСТОПАД_2025!D24+ГРУДЕНЬ_2025!D24+СІЧЕНЬ_2026!D24</f>
        <v>1441145.2440000055</v>
      </c>
      <c r="E24" s="25">
        <f>ВЕРЕСЕНЬ_2025!E24+ЖОВТЕНЬ_2025!E24+ЛИСТОПАД_2025!E24+ГРУДЕНЬ_2025!E24+СІЧЕНЬ_2026!E24</f>
        <v>1729374.2840000053</v>
      </c>
      <c r="F24" s="6"/>
      <c r="G24" s="70"/>
    </row>
    <row r="25" spans="1:7" s="4" customFormat="1" ht="40.15" customHeight="1" thickBot="1" x14ac:dyDescent="0.25">
      <c r="A25" s="37" t="s">
        <v>14</v>
      </c>
      <c r="B25" s="52">
        <f>ВЕРЕСЕНЬ_2025!B25+ЖОВТЕНЬ_2025!B25+ЛИСТОПАД_2025!B25+ГРУДЕНЬ_2025!B25+СІЧЕНЬ_2026!B25</f>
        <v>876.904</v>
      </c>
      <c r="C25" s="38">
        <f t="shared" si="6"/>
        <v>6607.1082456513823</v>
      </c>
      <c r="D25" s="38">
        <f>ВЕРЕСЕНЬ_2025!D25+ЖОВТЕНЬ_2025!D25+ЛИСТОПАД_2025!D25+ГРУДЕНЬ_2025!D25+СІЧЕНЬ_2026!D25</f>
        <v>5793799.6490446795</v>
      </c>
      <c r="E25" s="39">
        <f>ВЕРЕСЕНЬ_2025!E25+ЖОВТЕНЬ_2025!E25+ЛИСТОПАД_2025!E25+ГРУДЕНЬ_2025!E25+СІЧЕНЬ_2026!E25</f>
        <v>6952559.5785897197</v>
      </c>
      <c r="F25" s="6"/>
      <c r="G25" s="70"/>
    </row>
    <row r="26" spans="1:7" s="8" customFormat="1" ht="40.15" customHeight="1" x14ac:dyDescent="0.2">
      <c r="A26" s="15" t="s">
        <v>3</v>
      </c>
      <c r="B26" s="48">
        <f>SUM(B28:B30)</f>
        <v>1389.0880000000002</v>
      </c>
      <c r="C26" s="16">
        <f t="shared" ref="C26" si="7">IF(ISERROR(D26/B26),0,D26/B26)</f>
        <v>10388.243341709809</v>
      </c>
      <c r="D26" s="16">
        <f t="shared" ref="D26:E26" si="8">SUM(D28:D30)</f>
        <v>14430184.167048996</v>
      </c>
      <c r="E26" s="17">
        <f t="shared" si="8"/>
        <v>17316221.026863404</v>
      </c>
      <c r="G26" s="77"/>
    </row>
    <row r="27" spans="1:7" s="9" customFormat="1" ht="20.25" x14ac:dyDescent="0.2">
      <c r="A27" s="18" t="s">
        <v>5</v>
      </c>
      <c r="B27" s="49"/>
      <c r="C27" s="19"/>
      <c r="D27" s="19"/>
      <c r="E27" s="20"/>
      <c r="F27" s="8"/>
      <c r="G27" s="78"/>
    </row>
    <row r="28" spans="1:7" s="4" customFormat="1" ht="40.15" customHeight="1" x14ac:dyDescent="0.2">
      <c r="A28" s="21" t="s">
        <v>6</v>
      </c>
      <c r="B28" s="50">
        <f>ВЕРЕСЕНЬ_2025!B28+ЖОВТЕНЬ_2025!B28+ЛИСТОПАД_2025!B28+ГРУДЕНЬ_2025!B28+СІЧЕНЬ_2026!B28</f>
        <v>505.30000000000007</v>
      </c>
      <c r="C28" s="3">
        <f t="shared" ref="C28:C30" si="9">D28/B28</f>
        <v>13669.547199683358</v>
      </c>
      <c r="D28" s="3">
        <f>ВЕРЕСЕНЬ_2025!D28+ЖОВТЕНЬ_2025!D28+ЛИСТОПАД_2025!D28+ГРУДЕНЬ_2025!D28+СІЧЕНЬ_2026!D28</f>
        <v>6907222.200000002</v>
      </c>
      <c r="E28" s="22">
        <f>ВЕРЕСЕНЬ_2025!E28+ЖОВТЕНЬ_2025!E28+ЛИСТОПАД_2025!E28+ГРУДЕНЬ_2025!E28+СІЧЕНЬ_2026!E28</f>
        <v>8288666.6500000069</v>
      </c>
      <c r="F28" s="6"/>
      <c r="G28" s="70">
        <f t="shared" ref="G28:G30" si="10">ROUND(D28/1000,5)</f>
        <v>6907.2222000000002</v>
      </c>
    </row>
    <row r="29" spans="1:7" s="4" customFormat="1" ht="40.15" customHeight="1" thickBot="1" x14ac:dyDescent="0.25">
      <c r="A29" s="23" t="s">
        <v>7</v>
      </c>
      <c r="B29" s="51">
        <f>ВЕРЕСЕНЬ_2025!B29+ЖОВТЕНЬ_2025!B29+ЛИСТОПАД_2025!B29+ГРУДЕНЬ_2025!B29+СІЧЕНЬ_2026!B29</f>
        <v>283.30000000000007</v>
      </c>
      <c r="C29" s="24">
        <f t="shared" si="9"/>
        <v>11493.863152135522</v>
      </c>
      <c r="D29" s="24">
        <f>ВЕРЕСЕНЬ_2025!D29+ЖОВТЕНЬ_2025!D29+ЛИСТОПАД_2025!D29+ГРУДЕНЬ_2025!D29+СІЧЕНЬ_2026!D29</f>
        <v>3256211.4309999943</v>
      </c>
      <c r="E29" s="25">
        <f>ВЕРЕСЕНЬ_2025!E29+ЖОВТЕНЬ_2025!E29+ЛИСТОПАД_2025!E29+ГРУДЕНЬ_2025!E29+СІЧЕНЬ_2026!E29</f>
        <v>3907453.7209999962</v>
      </c>
      <c r="F29" s="6"/>
      <c r="G29" s="70">
        <f t="shared" si="10"/>
        <v>3256.2114299999998</v>
      </c>
    </row>
    <row r="30" spans="1:7" s="4" customFormat="1" ht="40.15" customHeight="1" thickBot="1" x14ac:dyDescent="0.25">
      <c r="A30" s="37" t="s">
        <v>14</v>
      </c>
      <c r="B30" s="53">
        <f>ВЕРЕСЕНЬ_2025!B30+ЖОВТЕНЬ_2025!B30+ЛИСТОПАД_2025!B30+ГРУДЕНЬ_2025!B30+СІЧЕНЬ_2026!B30</f>
        <v>600.48799999999994</v>
      </c>
      <c r="C30" s="40">
        <f t="shared" si="9"/>
        <v>7105.4717763702183</v>
      </c>
      <c r="D30" s="40">
        <f>ВЕРЕСЕНЬ_2025!D30+ЖОВТЕНЬ_2025!D30+ЛИСТОПАД_2025!D30+ГРУДЕНЬ_2025!D30+СІЧЕНЬ_2026!D30</f>
        <v>4266750.5360489991</v>
      </c>
      <c r="E30" s="41">
        <f>ВЕРЕСЕНЬ_2025!E30+ЖОВТЕНЬ_2025!E30+ЛИСТОПАД_2025!E30+ГРУДЕНЬ_2025!E30+СІЧЕНЬ_2026!E30</f>
        <v>5120100.6558634005</v>
      </c>
      <c r="F30" s="6"/>
      <c r="G30" s="79">
        <f t="shared" si="10"/>
        <v>4266.75054</v>
      </c>
    </row>
    <row r="31" spans="1:7" s="11" customFormat="1" ht="40.15" customHeight="1" thickBot="1" x14ac:dyDescent="0.35">
      <c r="A31" s="12" t="s">
        <v>1</v>
      </c>
      <c r="B31" s="54">
        <f>B26-B20</f>
        <v>-334.51199999999994</v>
      </c>
      <c r="C31" s="13">
        <f>C26-C20</f>
        <v>5166.2312668102686</v>
      </c>
      <c r="D31" s="13">
        <f>D26-D20</f>
        <v>5429524.1547521483</v>
      </c>
      <c r="E31" s="14">
        <f>E26-E20</f>
        <v>6515429.0250215176</v>
      </c>
      <c r="G31" s="80"/>
    </row>
    <row r="34" spans="5:5" x14ac:dyDescent="0.2">
      <c r="E34" s="30"/>
    </row>
  </sheetData>
  <mergeCells count="2">
    <mergeCell ref="A1:E1"/>
    <mergeCell ref="A17:E17"/>
  </mergeCells>
  <printOptions horizontalCentered="1"/>
  <pageMargins left="0.19685039370078741" right="0.19685039370078741" top="0.39370078740157483" bottom="0.19685039370078741" header="0" footer="0"/>
  <pageSetup paperSize="9" scale="89" fitToHeight="2" orientation="landscape" r:id="rId1"/>
  <rowBreaks count="1" manualBreakCount="1">
    <brk id="16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16</vt:i4>
      </vt:variant>
      <vt:variant>
        <vt:lpstr>Именованные диапазоны</vt:lpstr>
      </vt:variant>
      <vt:variant>
        <vt:i4>14</vt:i4>
      </vt:variant>
    </vt:vector>
  </HeadingPairs>
  <TitlesOfParts>
    <vt:vector size="30" baseType="lpstr">
      <vt:lpstr>ВЕРЕСЕНЬ_2025</vt:lpstr>
      <vt:lpstr>ЖОВТЕНЬ_2025</vt:lpstr>
      <vt:lpstr>ЛИСТОПАД_2025</vt:lpstr>
      <vt:lpstr>ГРУДЕНЬ_2025</vt:lpstr>
      <vt:lpstr>СІЧЕНЬ_2026</vt:lpstr>
      <vt:lpstr>ЛЮТИЙ_2026</vt:lpstr>
      <vt:lpstr>БЕРЕЗЕНЬ_2026</vt:lpstr>
      <vt:lpstr>РАЗОМ</vt:lpstr>
      <vt:lpstr>КВІТЕНЬ_2026</vt:lpstr>
      <vt:lpstr>КВІТЕНЬ_2026 (АРБІТРАЖ)</vt:lpstr>
      <vt:lpstr>ТРАВЕНЬ_2026 (АРБІТРАЖ)</vt:lpstr>
      <vt:lpstr>ОБСЯГИ</vt:lpstr>
      <vt:lpstr>ОБСЯГ_ВДР_РДН</vt:lpstr>
      <vt:lpstr>ВАРТІСТЬ_ВДР_РДН</vt:lpstr>
      <vt:lpstr>СКОРОЧЕНО (3 квартал 2)</vt:lpstr>
      <vt:lpstr>СКОРОЧЕНО (СВОД)</vt:lpstr>
      <vt:lpstr>БЕРЕЗЕНЬ_2026!Область_печати</vt:lpstr>
      <vt:lpstr>ВАРТІСТЬ_ВДР_РДН!Область_печати</vt:lpstr>
      <vt:lpstr>ВЕРЕСЕНЬ_2025!Область_печати</vt:lpstr>
      <vt:lpstr>ГРУДЕНЬ_2025!Область_печати</vt:lpstr>
      <vt:lpstr>ЖОВТЕНЬ_2025!Область_печати</vt:lpstr>
      <vt:lpstr>КВІТЕНЬ_2026!Область_печати</vt:lpstr>
      <vt:lpstr>'КВІТЕНЬ_2026 (АРБІТРАЖ)'!Область_печати</vt:lpstr>
      <vt:lpstr>ЛИСТОПАД_2025!Область_печати</vt:lpstr>
      <vt:lpstr>ЛЮТИЙ_2026!Область_печати</vt:lpstr>
      <vt:lpstr>РАЗОМ!Область_печати</vt:lpstr>
      <vt:lpstr>СІЧЕНЬ_2026!Область_печати</vt:lpstr>
      <vt:lpstr>'СКОРОЧЕНО (3 квартал 2)'!Область_печати</vt:lpstr>
      <vt:lpstr>'СКОРОЧЕНО (СВОД)'!Область_печати</vt:lpstr>
      <vt:lpstr>'ТРАВЕНЬ_2026 (АРБІТРАЖ)'!Область_печати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</dc:creator>
  <cp:lastModifiedBy>Levon Avakyan</cp:lastModifiedBy>
  <cp:lastPrinted>2026-05-13T09:41:47Z</cp:lastPrinted>
  <dcterms:created xsi:type="dcterms:W3CDTF">2025-11-19T10:04:29Z</dcterms:created>
  <dcterms:modified xsi:type="dcterms:W3CDTF">2026-05-19T08:00:30Z</dcterms:modified>
</cp:coreProperties>
</file>