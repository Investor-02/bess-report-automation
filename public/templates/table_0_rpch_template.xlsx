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\OneDrive\Рабочий стол\Автоматизация (РПЧ)\public\templates\"/>
    </mc:Choice>
  </mc:AlternateContent>
  <xr:revisionPtr revIDLastSave="0" documentId="13_ncr:1_{60AE7C00-2103-4C61-BB06-18AD5473BBBE}" xr6:coauthVersionLast="47" xr6:coauthVersionMax="47" xr10:uidLastSave="{00000000-0000-0000-0000-000000000000}"/>
  <bookViews>
    <workbookView xWindow="-120" yWindow="-120" windowWidth="29040" windowHeight="15720" xr2:uid="{DEC36E55-8FCA-4D2F-84DC-8E3893AABE2A}"/>
  </bookViews>
  <sheets>
    <sheet name="Знаменська БЕСС" sheetId="1" r:id="rId1"/>
    <sheet name="Олександрійська БЕСС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11" i="2" l="1"/>
  <c r="C11" i="2"/>
  <c r="E11" i="2" s="1"/>
  <c r="I11" i="2" s="1"/>
  <c r="H11" i="1"/>
  <c r="C11" i="1"/>
  <c r="E11" i="1" s="1"/>
  <c r="I11" i="1" s="1"/>
  <c r="C10" i="1"/>
  <c r="H10" i="2"/>
  <c r="C10" i="2"/>
  <c r="E10" i="2" s="1"/>
  <c r="H10" i="1"/>
  <c r="E10" i="1"/>
  <c r="I10" i="1" s="1"/>
  <c r="K11" i="1" l="1"/>
  <c r="J11" i="1"/>
  <c r="K11" i="2"/>
  <c r="J11" i="2"/>
  <c r="I10" i="2"/>
  <c r="K10" i="1"/>
  <c r="J10" i="1"/>
  <c r="C13" i="1"/>
  <c r="H9" i="1"/>
  <c r="E9" i="1"/>
  <c r="K2" i="2"/>
  <c r="H9" i="2"/>
  <c r="E9" i="2"/>
  <c r="H6" i="1"/>
  <c r="E6" i="1"/>
  <c r="I6" i="1" s="1"/>
  <c r="H8" i="2"/>
  <c r="E8" i="2"/>
  <c r="H8" i="1"/>
  <c r="E8" i="1"/>
  <c r="D13" i="2"/>
  <c r="D13" i="1"/>
  <c r="I8" i="2" l="1"/>
  <c r="I9" i="2"/>
  <c r="K9" i="2" s="1"/>
  <c r="K10" i="2"/>
  <c r="J10" i="2"/>
  <c r="I9" i="1"/>
  <c r="J9" i="1" s="1"/>
  <c r="K9" i="1"/>
  <c r="K6" i="1"/>
  <c r="J6" i="1"/>
  <c r="I8" i="1"/>
  <c r="K8" i="2"/>
  <c r="J8" i="2"/>
  <c r="K8" i="1"/>
  <c r="J8" i="1"/>
  <c r="C13" i="2"/>
  <c r="J9" i="2" l="1"/>
  <c r="H7" i="2"/>
  <c r="E7" i="2"/>
  <c r="H6" i="2"/>
  <c r="E6" i="2"/>
  <c r="E13" i="2" l="1"/>
  <c r="I6" i="2"/>
  <c r="J6" i="2" s="1"/>
  <c r="I7" i="2"/>
  <c r="J7" i="2" s="1"/>
  <c r="K6" i="2" l="1"/>
  <c r="K7" i="2"/>
  <c r="J13" i="2"/>
  <c r="I13" i="2"/>
  <c r="H7" i="1"/>
  <c r="E7" i="1"/>
  <c r="K13" i="2" l="1"/>
  <c r="E13" i="1"/>
  <c r="I5" i="1"/>
  <c r="J5" i="1" s="1"/>
  <c r="I7" i="1"/>
  <c r="K7" i="1" s="1"/>
  <c r="K5" i="1" l="1"/>
  <c r="K13" i="1" s="1"/>
  <c r="J7" i="1"/>
  <c r="J13" i="1" s="1"/>
  <c r="I13" i="1"/>
</calcChain>
</file>

<file path=xl/sharedStrings.xml><?xml version="1.0" encoding="utf-8"?>
<sst xmlns="http://schemas.openxmlformats.org/spreadsheetml/2006/main" count="50" uniqueCount="24">
  <si>
    <t>Місяць</t>
  </si>
  <si>
    <t>Сертифікована потужність РПЧ, 
МВт</t>
  </si>
  <si>
    <t>Кількість 
 фактичного надання послуги РПЧ,
годин</t>
  </si>
  <si>
    <t>Аукціона ціна
за  1 МВт/1 год,
евро</t>
  </si>
  <si>
    <t>Середній курс НБУ  за звітний місяць,
 грн.</t>
  </si>
  <si>
    <t>ПДВ,
грн.</t>
  </si>
  <si>
    <t>Жовтень 2025</t>
  </si>
  <si>
    <t>Листопад 2025</t>
  </si>
  <si>
    <t>ВСЬОГО</t>
  </si>
  <si>
    <t>-</t>
  </si>
  <si>
    <t xml:space="preserve">      </t>
  </si>
  <si>
    <t>Грудень 2025</t>
  </si>
  <si>
    <r>
      <t>ТОВ "ЗНАМЕНСЬКА БЕСС"</t>
    </r>
    <r>
      <rPr>
        <b/>
        <sz val="18"/>
        <color rgb="FFC00000"/>
        <rFont val="Arial Narrow"/>
        <family val="2"/>
        <charset val="204"/>
      </rPr>
      <t xml:space="preserve">
РОЗРАХУНОК ВАРТОСТІ </t>
    </r>
    <r>
      <rPr>
        <b/>
        <sz val="18"/>
        <color theme="1"/>
        <rFont val="Arial Narrow"/>
        <family val="2"/>
        <charset val="204"/>
      </rPr>
      <t xml:space="preserve">
</t>
    </r>
    <r>
      <rPr>
        <b/>
        <sz val="18"/>
        <color rgb="FF002060"/>
        <rFont val="Arial Narrow"/>
        <family val="2"/>
        <charset val="204"/>
      </rPr>
      <t xml:space="preserve">приймання-передачі наданих допоміжних послуг з резерву підтримки частоти та активної потужності </t>
    </r>
  </si>
  <si>
    <r>
      <t>ТОВ "ОЛЕКСАНДРІЙСЬКА БЕСС"</t>
    </r>
    <r>
      <rPr>
        <b/>
        <sz val="18"/>
        <color rgb="FFC00000"/>
        <rFont val="Arial Narrow"/>
        <family val="2"/>
        <charset val="204"/>
      </rPr>
      <t xml:space="preserve">
РОЗРАХУНОК ВАРТОСТІ </t>
    </r>
    <r>
      <rPr>
        <b/>
        <sz val="18"/>
        <color theme="1"/>
        <rFont val="Arial Narrow"/>
        <family val="2"/>
        <charset val="204"/>
      </rPr>
      <t xml:space="preserve">
</t>
    </r>
    <r>
      <rPr>
        <b/>
        <sz val="18"/>
        <color rgb="FF002060"/>
        <rFont val="Arial Narrow"/>
        <family val="2"/>
        <charset val="204"/>
      </rPr>
      <t xml:space="preserve">приймання-передачі наданих допоміжних послуг з резерву підтримки частоти та активної потужності </t>
    </r>
  </si>
  <si>
    <t>Кількість 
 фактичного ненадання послуги РПЧ,
годин</t>
  </si>
  <si>
    <t>Розрахунковий
обсяг послуг, 
МВт*год
(5=2*3)</t>
  </si>
  <si>
    <t>Ціна за звітний місяць,
грн.
(8=6*7)</t>
  </si>
  <si>
    <t>ВАРТІСТЬ, без ПДВ, 
грн.
(9=8*5)</t>
  </si>
  <si>
    <t>ВАРТІСТЬ, З ПДВ,
грн.
(11=9+10)</t>
  </si>
  <si>
    <t>Січень 2026</t>
  </si>
  <si>
    <t>Вересень 2025</t>
  </si>
  <si>
    <t>Лютий 2026</t>
  </si>
  <si>
    <t>Березень 2026</t>
  </si>
  <si>
    <t>на 30.04.2026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</si>
</sst>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13" x14ac:knownFonts="1">
    <font>
      <sz val="11"/>
      <color theme="1"/>
      <name val="Calibri"/>
      <family val="2"/>
      <charset val="204"/>
      <scheme val="minor"/>
    </font>
    <font>
      <sz val="11"/>
      <color theme="1"/>
      <name val="Arial Narrow"/>
      <family val="2"/>
      <charset val="204"/>
    </font>
    <font>
      <b/>
      <sz val="18"/>
      <color theme="1"/>
      <name val="Arial Narrow"/>
      <family val="2"/>
      <charset val="204"/>
    </font>
    <font>
      <b/>
      <sz val="18"/>
      <color rgb="FFC00000"/>
      <name val="Arial Narrow"/>
      <family val="2"/>
      <charset val="204"/>
    </font>
    <font>
      <b/>
      <sz val="18"/>
      <color rgb="FF002060"/>
      <name val="Arial Narrow"/>
      <family val="2"/>
      <charset val="204"/>
    </font>
    <font>
      <b/>
      <i/>
      <sz val="11"/>
      <color theme="1"/>
      <name val="Arial Narrow"/>
      <family val="2"/>
      <charset val="204"/>
    </font>
    <font>
      <b/>
      <sz val="11"/>
      <color theme="1"/>
      <name val="Arial Narrow"/>
      <family val="2"/>
      <charset val="204"/>
    </font>
    <font>
      <sz val="12"/>
      <color theme="1"/>
      <name val="Arial Narrow"/>
      <family val="2"/>
      <charset val="204"/>
    </font>
    <font>
      <sz val="16"/>
      <color theme="1"/>
      <name val="Arial Narrow"/>
      <family val="2"/>
      <charset val="204"/>
    </font>
    <font>
      <b/>
      <sz val="16"/>
      <color theme="1"/>
      <name val="Arial Narrow"/>
      <family val="2"/>
      <charset val="204"/>
    </font>
    <font>
      <i/>
      <sz val="13"/>
      <color theme="1"/>
      <name val="Arial Narrow"/>
      <family val="2"/>
      <charset val="204"/>
    </font>
    <font>
      <b/>
      <i/>
      <sz val="13"/>
      <color theme="1"/>
      <name val="Arial Narrow"/>
      <family val="2"/>
      <charset val="204"/>
    </font>
    <font>
      <sz val="8"/>
      <name val="Calibri"/>
      <family val="2"/>
      <charset val="204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5" fillId="0" borderId="0" xfId="0" applyFont="1" applyAlignment="1">
      <alignment horizontal="right"/>
    </xf>
    <xf numFmtId="0" fontId="6" fillId="0" borderId="0" xfId="0" applyFont="1" applyAlignment="1">
      <alignment horizontal="center" vertical="center" wrapText="1"/>
    </xf>
    <xf numFmtId="0" fontId="7" fillId="3" borderId="1" xfId="0" applyFont="1" applyFill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/>
    </xf>
    <xf numFmtId="3" fontId="9" fillId="3" borderId="1" xfId="0" applyNumberFormat="1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4" fontId="8" fillId="0" borderId="1" xfId="0" applyNumberFormat="1" applyFont="1" applyBorder="1" applyAlignment="1">
      <alignment horizontal="center" vertical="center"/>
    </xf>
    <xf numFmtId="4" fontId="10" fillId="0" borderId="1" xfId="0" applyNumberFormat="1" applyFont="1" applyBorder="1" applyAlignment="1">
      <alignment horizontal="center" vertical="center"/>
    </xf>
    <xf numFmtId="0" fontId="1" fillId="0" borderId="0" xfId="0" applyFont="1" applyAlignment="1">
      <alignment vertical="center"/>
    </xf>
    <xf numFmtId="164" fontId="8" fillId="0" borderId="1" xfId="0" applyNumberFormat="1" applyFont="1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 wrapText="1"/>
    </xf>
    <xf numFmtId="0" fontId="6" fillId="2" borderId="3" xfId="0" applyFont="1" applyFill="1" applyBorder="1" applyAlignment="1">
      <alignment horizontal="center" vertical="center" wrapText="1"/>
    </xf>
    <xf numFmtId="0" fontId="6" fillId="2" borderId="4" xfId="0" applyFont="1" applyFill="1" applyBorder="1" applyAlignment="1">
      <alignment horizontal="center" vertical="center" wrapText="1"/>
    </xf>
    <xf numFmtId="0" fontId="7" fillId="3" borderId="5" xfId="0" applyFont="1" applyFill="1" applyBorder="1" applyAlignment="1">
      <alignment horizontal="center" vertical="center" wrapText="1"/>
    </xf>
    <xf numFmtId="0" fontId="7" fillId="3" borderId="6" xfId="0" applyFont="1" applyFill="1" applyBorder="1" applyAlignment="1">
      <alignment horizontal="center" vertical="center" wrapText="1"/>
    </xf>
    <xf numFmtId="49" fontId="1" fillId="0" borderId="5" xfId="0" applyNumberFormat="1" applyFont="1" applyBorder="1" applyAlignment="1">
      <alignment horizontal="center" vertical="center"/>
    </xf>
    <xf numFmtId="4" fontId="9" fillId="3" borderId="6" xfId="0" applyNumberFormat="1" applyFont="1" applyFill="1" applyBorder="1" applyAlignment="1">
      <alignment horizontal="center" vertical="center"/>
    </xf>
    <xf numFmtId="0" fontId="9" fillId="2" borderId="7" xfId="0" applyFont="1" applyFill="1" applyBorder="1" applyAlignment="1">
      <alignment horizontal="center" vertical="center"/>
    </xf>
    <xf numFmtId="0" fontId="9" fillId="2" borderId="8" xfId="0" applyFont="1" applyFill="1" applyBorder="1" applyAlignment="1">
      <alignment horizontal="center" vertical="center"/>
    </xf>
    <xf numFmtId="3" fontId="9" fillId="2" borderId="8" xfId="0" applyNumberFormat="1" applyFont="1" applyFill="1" applyBorder="1" applyAlignment="1">
      <alignment horizontal="center" vertical="center"/>
    </xf>
    <xf numFmtId="4" fontId="9" fillId="2" borderId="8" xfId="0" applyNumberFormat="1" applyFont="1" applyFill="1" applyBorder="1" applyAlignment="1">
      <alignment horizontal="center" vertical="center"/>
    </xf>
    <xf numFmtId="4" fontId="11" fillId="2" borderId="8" xfId="0" applyNumberFormat="1" applyFont="1" applyFill="1" applyBorder="1" applyAlignment="1">
      <alignment horizontal="center" vertical="center"/>
    </xf>
    <xf numFmtId="4" fontId="9" fillId="2" borderId="9" xfId="0" applyNumberFormat="1" applyFont="1" applyFill="1" applyBorder="1" applyAlignment="1">
      <alignment horizontal="center" vertical="center"/>
    </xf>
    <xf numFmtId="49" fontId="1" fillId="4" borderId="5" xfId="0" applyNumberFormat="1" applyFont="1" applyFill="1" applyBorder="1" applyAlignment="1">
      <alignment horizontal="center" vertical="center"/>
    </xf>
    <xf numFmtId="0" fontId="8" fillId="4" borderId="1" xfId="0" applyFont="1" applyFill="1" applyBorder="1" applyAlignment="1">
      <alignment horizontal="center" vertical="center"/>
    </xf>
    <xf numFmtId="3" fontId="9" fillId="4" borderId="1" xfId="0" applyNumberFormat="1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164" fontId="8" fillId="4" borderId="1" xfId="0" applyNumberFormat="1" applyFont="1" applyFill="1" applyBorder="1" applyAlignment="1">
      <alignment horizontal="center" vertical="center"/>
    </xf>
    <xf numFmtId="4" fontId="8" fillId="4" borderId="1" xfId="0" applyNumberFormat="1" applyFont="1" applyFill="1" applyBorder="1" applyAlignment="1">
      <alignment horizontal="center" vertical="center"/>
    </xf>
    <xf numFmtId="4" fontId="10" fillId="4" borderId="1" xfId="0" applyNumberFormat="1" applyFont="1" applyFill="1" applyBorder="1" applyAlignment="1">
      <alignment horizontal="center" vertical="center"/>
    </xf>
    <xf numFmtId="4" fontId="9" fillId="4" borderId="6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937312-7197-4052-94CA-24AE1F5653DC}">
  <sheetPr>
    <tabColor rgb="FF00B050"/>
    <pageSetUpPr fitToPage="1"/>
  </sheetPr>
  <dimension ref="A1:K15"/>
  <sheetViews>
    <sheetView tabSelected="1" topLeftCell="A4" zoomScale="85" zoomScaleNormal="85" workbookViewId="0">
      <selection activeCell="E17" sqref="E17"/>
    </sheetView>
  </sheetViews>
  <sheetFormatPr defaultColWidth="9.140625" defaultRowHeight="16.5" x14ac:dyDescent="0.3"/>
  <cols>
    <col min="1" max="1" width="20.140625" style="1" customWidth="1"/>
    <col min="2" max="2" width="15.5703125" style="1" bestFit="1" customWidth="1"/>
    <col min="3" max="3" width="19.7109375" style="3" customWidth="1"/>
    <col min="4" max="4" width="19.140625" style="3" customWidth="1"/>
    <col min="5" max="5" width="14.7109375" style="3" bestFit="1" customWidth="1"/>
    <col min="6" max="6" width="14.5703125" style="3" bestFit="1" customWidth="1"/>
    <col min="7" max="7" width="14.7109375" style="3" bestFit="1" customWidth="1"/>
    <col min="8" max="8" width="14.42578125" style="3" bestFit="1" customWidth="1"/>
    <col min="9" max="9" width="25" style="3" customWidth="1"/>
    <col min="10" max="10" width="17.5703125" style="3" customWidth="1"/>
    <col min="11" max="11" width="22.5703125" style="3" customWidth="1"/>
    <col min="12" max="16384" width="9.140625" style="1"/>
  </cols>
  <sheetData>
    <row r="1" spans="1:11" ht="77.25" customHeight="1" x14ac:dyDescent="0.3">
      <c r="A1" s="35" t="s">
        <v>12</v>
      </c>
      <c r="B1" s="35"/>
      <c r="C1" s="35"/>
      <c r="D1" s="35"/>
      <c r="E1" s="35"/>
      <c r="F1" s="35"/>
      <c r="G1" s="35"/>
      <c r="H1" s="35"/>
      <c r="I1" s="35"/>
      <c r="J1" s="35"/>
      <c r="K1" s="35"/>
    </row>
    <row r="2" spans="1:11" ht="17.25" thickBot="1" x14ac:dyDescent="0.35">
      <c r="K2" s="4" t="s">
        <v>23</v>
      </c>
    </row>
    <row r="3" spans="1:11" s="5" customFormat="1" ht="85.5" customHeight="1" x14ac:dyDescent="0.25">
      <c r="A3" s="14" t="s">
        <v>0</v>
      </c>
      <c r="B3" s="15" t="s">
        <v>1</v>
      </c>
      <c r="C3" s="15" t="s">
        <v>2</v>
      </c>
      <c r="D3" s="15" t="s">
        <v>14</v>
      </c>
      <c r="E3" s="15" t="s">
        <v>15</v>
      </c>
      <c r="F3" s="15" t="s">
        <v>3</v>
      </c>
      <c r="G3" s="15" t="s">
        <v>4</v>
      </c>
      <c r="H3" s="15" t="s">
        <v>16</v>
      </c>
      <c r="I3" s="15" t="s">
        <v>17</v>
      </c>
      <c r="J3" s="15" t="s">
        <v>5</v>
      </c>
      <c r="K3" s="16" t="s">
        <v>18</v>
      </c>
    </row>
    <row r="4" spans="1:11" s="2" customFormat="1" ht="23.25" x14ac:dyDescent="0.25">
      <c r="A4" s="17">
        <v>1</v>
      </c>
      <c r="B4" s="6">
        <v>2</v>
      </c>
      <c r="C4" s="6">
        <v>3</v>
      </c>
      <c r="D4" s="6">
        <v>4</v>
      </c>
      <c r="E4" s="6">
        <v>5</v>
      </c>
      <c r="F4" s="6">
        <v>6</v>
      </c>
      <c r="G4" s="6">
        <v>7</v>
      </c>
      <c r="H4" s="6">
        <v>8</v>
      </c>
      <c r="I4" s="6">
        <v>9</v>
      </c>
      <c r="J4" s="6">
        <v>10</v>
      </c>
      <c r="K4" s="18">
        <v>11</v>
      </c>
    </row>
    <row r="5" spans="1:11" s="12" customFormat="1" ht="35.1" customHeight="1" x14ac:dyDescent="0.25">
      <c r="A5" s="19" t="s">
        <v>20</v>
      </c>
      <c r="B5" s="7">
        <v>8</v>
      </c>
      <c r="C5" s="7">
        <v>24</v>
      </c>
      <c r="D5" s="7">
        <v>0</v>
      </c>
      <c r="E5" s="8">
        <v>192</v>
      </c>
      <c r="F5" s="9">
        <v>15.411382339999999</v>
      </c>
      <c r="G5" s="7">
        <v>48.453800000000001</v>
      </c>
      <c r="H5" s="10">
        <v>300</v>
      </c>
      <c r="I5" s="10">
        <f t="shared" ref="I5:I12" si="0">E5*H5</f>
        <v>57600</v>
      </c>
      <c r="J5" s="11">
        <f t="shared" ref="J5:J12" si="1">ROUND(I5*20/100,2)</f>
        <v>11520</v>
      </c>
      <c r="K5" s="20">
        <f t="shared" ref="K5:K12" si="2">I5*1.2</f>
        <v>69120</v>
      </c>
    </row>
    <row r="6" spans="1:11" s="12" customFormat="1" ht="35.1" customHeight="1" x14ac:dyDescent="0.25">
      <c r="A6" s="19" t="s">
        <v>6</v>
      </c>
      <c r="B6" s="7">
        <v>8</v>
      </c>
      <c r="C6" s="7">
        <v>745</v>
      </c>
      <c r="D6" s="7">
        <v>0</v>
      </c>
      <c r="E6" s="8">
        <f t="shared" ref="E6:E10" si="3">B6*C6</f>
        <v>5960</v>
      </c>
      <c r="F6" s="9">
        <v>15.411382339999999</v>
      </c>
      <c r="G6" s="7">
        <v>48.463299999999997</v>
      </c>
      <c r="H6" s="10">
        <f t="shared" ref="H6:H12" si="4">ROUND(F6*G6,2)</f>
        <v>746.89</v>
      </c>
      <c r="I6" s="10">
        <f t="shared" si="0"/>
        <v>4451464.4000000004</v>
      </c>
      <c r="J6" s="11">
        <f t="shared" si="1"/>
        <v>890292.88</v>
      </c>
      <c r="K6" s="20">
        <f t="shared" si="2"/>
        <v>5341757.28</v>
      </c>
    </row>
    <row r="7" spans="1:11" s="12" customFormat="1" ht="35.1" customHeight="1" x14ac:dyDescent="0.25">
      <c r="A7" s="19" t="s">
        <v>7</v>
      </c>
      <c r="B7" s="7">
        <v>8</v>
      </c>
      <c r="C7" s="7">
        <v>720</v>
      </c>
      <c r="D7" s="7">
        <v>0</v>
      </c>
      <c r="E7" s="8">
        <f t="shared" si="3"/>
        <v>5760</v>
      </c>
      <c r="F7" s="9">
        <v>15.411382339999999</v>
      </c>
      <c r="G7" s="13">
        <v>48.667999999999999</v>
      </c>
      <c r="H7" s="10">
        <f t="shared" si="4"/>
        <v>750.04</v>
      </c>
      <c r="I7" s="10">
        <f t="shared" si="0"/>
        <v>4320230.3999999994</v>
      </c>
      <c r="J7" s="11">
        <f t="shared" si="1"/>
        <v>864046.07999999996</v>
      </c>
      <c r="K7" s="20">
        <f t="shared" si="2"/>
        <v>5184276.4799999995</v>
      </c>
    </row>
    <row r="8" spans="1:11" s="12" customFormat="1" ht="35.1" customHeight="1" x14ac:dyDescent="0.25">
      <c r="A8" s="19" t="s">
        <v>11</v>
      </c>
      <c r="B8" s="7">
        <v>8</v>
      </c>
      <c r="C8" s="7">
        <v>744</v>
      </c>
      <c r="D8" s="7">
        <v>0</v>
      </c>
      <c r="E8" s="8">
        <f t="shared" si="3"/>
        <v>5952</v>
      </c>
      <c r="F8" s="9">
        <v>15.411382339999999</v>
      </c>
      <c r="G8" s="13">
        <v>49.419400000000003</v>
      </c>
      <c r="H8" s="10">
        <f t="shared" si="4"/>
        <v>761.62</v>
      </c>
      <c r="I8" s="10">
        <f t="shared" si="0"/>
        <v>4533162.24</v>
      </c>
      <c r="J8" s="11">
        <f t="shared" si="1"/>
        <v>906632.45</v>
      </c>
      <c r="K8" s="20">
        <f t="shared" si="2"/>
        <v>5439794.6880000001</v>
      </c>
    </row>
    <row r="9" spans="1:11" s="12" customFormat="1" ht="35.1" customHeight="1" x14ac:dyDescent="0.25">
      <c r="A9" s="19" t="s">
        <v>19</v>
      </c>
      <c r="B9" s="7">
        <v>8</v>
      </c>
      <c r="C9" s="7">
        <v>743</v>
      </c>
      <c r="D9" s="7">
        <v>1</v>
      </c>
      <c r="E9" s="8">
        <f t="shared" si="3"/>
        <v>5944</v>
      </c>
      <c r="F9" s="9">
        <v>15.411382339999999</v>
      </c>
      <c r="G9" s="13">
        <v>50.345399999999998</v>
      </c>
      <c r="H9" s="10">
        <f t="shared" si="4"/>
        <v>775.89</v>
      </c>
      <c r="I9" s="10">
        <f t="shared" si="0"/>
        <v>4611890.16</v>
      </c>
      <c r="J9" s="11">
        <f t="shared" si="1"/>
        <v>922378.03</v>
      </c>
      <c r="K9" s="20">
        <f t="shared" si="2"/>
        <v>5534268.1919999998</v>
      </c>
    </row>
    <row r="10" spans="1:11" s="12" customFormat="1" ht="35.1" customHeight="1" x14ac:dyDescent="0.25">
      <c r="A10" s="27" t="s">
        <v>21</v>
      </c>
      <c r="B10" s="28">
        <v>8</v>
      </c>
      <c r="C10" s="28">
        <f>28*24</f>
        <v>672</v>
      </c>
      <c r="D10" s="28">
        <v>0</v>
      </c>
      <c r="E10" s="29">
        <f t="shared" si="3"/>
        <v>5376</v>
      </c>
      <c r="F10" s="30">
        <v>15.411382339999999</v>
      </c>
      <c r="G10" s="31">
        <v>51.023499999999999</v>
      </c>
      <c r="H10" s="32">
        <f t="shared" si="4"/>
        <v>786.34</v>
      </c>
      <c r="I10" s="32">
        <f t="shared" ref="I10:I11" si="5">E10*H10</f>
        <v>4227363.84</v>
      </c>
      <c r="J10" s="33">
        <f t="shared" ref="J10:J11" si="6">ROUND(I10*20/100,2)</f>
        <v>845472.77</v>
      </c>
      <c r="K10" s="34">
        <f t="shared" ref="K10:K11" si="7">I10*1.2</f>
        <v>5072836.608</v>
      </c>
    </row>
    <row r="11" spans="1:11" s="12" customFormat="1" ht="35.1" customHeight="1" x14ac:dyDescent="0.25">
      <c r="A11" s="27" t="s">
        <v>22</v>
      </c>
      <c r="B11" s="28">
        <v>8</v>
      </c>
      <c r="C11" s="28">
        <f>31*24-1</f>
        <v>743</v>
      </c>
      <c r="D11" s="28">
        <v>0</v>
      </c>
      <c r="E11" s="29">
        <f t="shared" ref="E11" si="8">B11*C11</f>
        <v>5944</v>
      </c>
      <c r="F11" s="30">
        <v>15.411382339999999</v>
      </c>
      <c r="G11" s="31">
        <v>50.7241</v>
      </c>
      <c r="H11" s="32">
        <f t="shared" ref="H11" si="9">ROUND(F11*G11,2)</f>
        <v>781.73</v>
      </c>
      <c r="I11" s="32">
        <f t="shared" si="5"/>
        <v>4646603.12</v>
      </c>
      <c r="J11" s="33">
        <f t="shared" si="6"/>
        <v>929320.62</v>
      </c>
      <c r="K11" s="34">
        <f t="shared" si="7"/>
        <v>5575923.7439999999</v>
      </c>
    </row>
    <row r="12" spans="1:11" s="12" customFormat="1" ht="35.1" customHeight="1" x14ac:dyDescent="0.25">
      <c r="A12" s="27"/>
      <c r="B12" s="28"/>
      <c r="C12" s="28"/>
      <c r="D12" s="28"/>
      <c r="E12" s="29"/>
      <c r="F12" s="30"/>
      <c r="G12" s="31"/>
      <c r="H12" s="32"/>
      <c r="I12" s="32"/>
      <c r="J12" s="33"/>
      <c r="K12" s="34"/>
    </row>
    <row r="13" spans="1:11" ht="35.1" customHeight="1" thickBot="1" x14ac:dyDescent="0.35">
      <c r="A13" s="21" t="s">
        <v>8</v>
      </c>
      <c r="B13" s="22" t="s">
        <v>9</v>
      </c>
      <c r="C13" s="23">
        <f>SUM(C5:C12)</f>
        <v>4391</v>
      </c>
      <c r="D13" s="23">
        <f>SUM(D5:D12)</f>
        <v>1</v>
      </c>
      <c r="E13" s="23">
        <f>SUM(E5:E12)</f>
        <v>35128</v>
      </c>
      <c r="F13" s="22" t="s">
        <v>9</v>
      </c>
      <c r="G13" s="22" t="s">
        <v>9</v>
      </c>
      <c r="H13" s="24" t="s">
        <v>9</v>
      </c>
      <c r="I13" s="24">
        <f>SUM(I5:I12)</f>
        <v>26848314.160000004</v>
      </c>
      <c r="J13" s="25">
        <f>SUM(J5:J12)</f>
        <v>5369662.830000001</v>
      </c>
      <c r="K13" s="26">
        <f>SUM(K5:K12)</f>
        <v>32217976.991999999</v>
      </c>
    </row>
    <row r="15" spans="1:11" x14ac:dyDescent="0.3">
      <c r="H15" s="3" t="s">
        <v>10</v>
      </c>
    </row>
  </sheetData>
  <mergeCells count="1">
    <mergeCell ref="A1:K1"/>
  </mergeCells>
  <phoneticPr fontId="12" type="noConversion"/>
  <pageMargins left="0.25" right="0.25" top="0.75" bottom="0.75" header="0.3" footer="0.3"/>
  <pageSetup paperSize="9" scale="72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F7859B-B2AA-4B00-91FA-CD0EAA79AFD3}">
  <sheetPr>
    <tabColor rgb="FF0070C0"/>
    <pageSetUpPr fitToPage="1"/>
  </sheetPr>
  <dimension ref="A1:K15"/>
  <sheetViews>
    <sheetView zoomScale="85" zoomScaleNormal="85" workbookViewId="0">
      <selection activeCell="A12" sqref="A12:XFD12"/>
    </sheetView>
  </sheetViews>
  <sheetFormatPr defaultColWidth="9.140625" defaultRowHeight="16.5" x14ac:dyDescent="0.3"/>
  <cols>
    <col min="1" max="1" width="20.85546875" style="1" customWidth="1"/>
    <col min="2" max="2" width="15.5703125" style="1" bestFit="1" customWidth="1"/>
    <col min="3" max="3" width="19.7109375" style="3" bestFit="1" customWidth="1"/>
    <col min="4" max="4" width="19.7109375" style="3" customWidth="1"/>
    <col min="5" max="5" width="18.28515625" style="3" customWidth="1"/>
    <col min="6" max="6" width="14.5703125" style="3" bestFit="1" customWidth="1"/>
    <col min="7" max="7" width="17.28515625" style="3" customWidth="1"/>
    <col min="8" max="8" width="14.42578125" style="3" bestFit="1" customWidth="1"/>
    <col min="9" max="9" width="25.85546875" style="3" customWidth="1"/>
    <col min="10" max="10" width="17.5703125" style="3" customWidth="1"/>
    <col min="11" max="11" width="22.5703125" style="3" customWidth="1"/>
    <col min="12" max="16384" width="9.140625" style="1"/>
  </cols>
  <sheetData>
    <row r="1" spans="1:11" ht="87.75" customHeight="1" x14ac:dyDescent="0.3">
      <c r="A1" s="35" t="s">
        <v>13</v>
      </c>
      <c r="B1" s="35"/>
      <c r="C1" s="35"/>
      <c r="D1" s="35"/>
      <c r="E1" s="35"/>
      <c r="F1" s="35"/>
      <c r="G1" s="35"/>
      <c r="H1" s="35"/>
      <c r="I1" s="35"/>
      <c r="J1" s="35"/>
      <c r="K1" s="35"/>
    </row>
    <row r="2" spans="1:11" ht="17.25" thickBot="1" x14ac:dyDescent="0.35">
      <c r="K2" s="4" t="str">
        <f>'Знаменська БЕСС'!K2</f>
        <v>на 30.04.2026</v>
      </c>
    </row>
    <row r="3" spans="1:11" s="5" customFormat="1" ht="80.25" customHeight="1" x14ac:dyDescent="0.25">
      <c r="A3" s="14" t="s">
        <v>0</v>
      </c>
      <c r="B3" s="15" t="s">
        <v>1</v>
      </c>
      <c r="C3" s="15" t="s">
        <v>2</v>
      </c>
      <c r="D3" s="15" t="s">
        <v>14</v>
      </c>
      <c r="E3" s="15" t="s">
        <v>15</v>
      </c>
      <c r="F3" s="15" t="s">
        <v>3</v>
      </c>
      <c r="G3" s="15" t="s">
        <v>4</v>
      </c>
      <c r="H3" s="15" t="s">
        <v>16</v>
      </c>
      <c r="I3" s="15" t="s">
        <v>17</v>
      </c>
      <c r="J3" s="15" t="s">
        <v>5</v>
      </c>
      <c r="K3" s="16" t="s">
        <v>18</v>
      </c>
    </row>
    <row r="4" spans="1:11" s="2" customFormat="1" ht="23.25" x14ac:dyDescent="0.25">
      <c r="A4" s="17">
        <v>1</v>
      </c>
      <c r="B4" s="6">
        <v>2</v>
      </c>
      <c r="C4" s="6">
        <v>3</v>
      </c>
      <c r="D4" s="6">
        <v>4</v>
      </c>
      <c r="E4" s="6">
        <v>5</v>
      </c>
      <c r="F4" s="6">
        <v>6</v>
      </c>
      <c r="G4" s="6">
        <v>7</v>
      </c>
      <c r="H4" s="6">
        <v>8</v>
      </c>
      <c r="I4" s="6">
        <v>9</v>
      </c>
      <c r="J4" s="6">
        <v>10</v>
      </c>
      <c r="K4" s="18">
        <v>11</v>
      </c>
    </row>
    <row r="5" spans="1:11" s="2" customFormat="1" ht="23.25" hidden="1" x14ac:dyDescent="0.25">
      <c r="A5" s="17"/>
      <c r="B5" s="6"/>
      <c r="C5" s="6"/>
      <c r="D5" s="6"/>
      <c r="E5" s="6"/>
      <c r="F5" s="6"/>
      <c r="G5" s="6"/>
      <c r="H5" s="6"/>
      <c r="I5" s="6"/>
      <c r="J5" s="6"/>
      <c r="K5" s="18"/>
    </row>
    <row r="6" spans="1:11" s="12" customFormat="1" ht="35.1" customHeight="1" x14ac:dyDescent="0.25">
      <c r="A6" s="19" t="s">
        <v>6</v>
      </c>
      <c r="B6" s="7">
        <v>10</v>
      </c>
      <c r="C6" s="7">
        <v>744</v>
      </c>
      <c r="D6" s="7">
        <v>1</v>
      </c>
      <c r="E6" s="8">
        <f t="shared" ref="E6:E12" si="0">B6*C6</f>
        <v>7440</v>
      </c>
      <c r="F6" s="9">
        <v>13.99830431</v>
      </c>
      <c r="G6" s="7">
        <v>48.463299999999997</v>
      </c>
      <c r="H6" s="10">
        <f t="shared" ref="H6:H12" si="1">ROUND(F6*G6,2)</f>
        <v>678.4</v>
      </c>
      <c r="I6" s="10">
        <f t="shared" ref="I6:I12" si="2">H6*E6</f>
        <v>5047296</v>
      </c>
      <c r="J6" s="11">
        <f t="shared" ref="J6:J12" si="3">ROUND(I6*20/100,2)</f>
        <v>1009459.2</v>
      </c>
      <c r="K6" s="20">
        <f t="shared" ref="K6:K12" si="4">I6*1.2</f>
        <v>6056755.2000000002</v>
      </c>
    </row>
    <row r="7" spans="1:11" s="12" customFormat="1" ht="35.1" customHeight="1" x14ac:dyDescent="0.25">
      <c r="A7" s="19" t="s">
        <v>7</v>
      </c>
      <c r="B7" s="7">
        <v>10</v>
      </c>
      <c r="C7" s="7">
        <v>720</v>
      </c>
      <c r="D7" s="7">
        <v>0</v>
      </c>
      <c r="E7" s="8">
        <f t="shared" si="0"/>
        <v>7200</v>
      </c>
      <c r="F7" s="9">
        <v>13.99830431</v>
      </c>
      <c r="G7" s="13">
        <v>48.667999999999999</v>
      </c>
      <c r="H7" s="10">
        <f t="shared" si="1"/>
        <v>681.27</v>
      </c>
      <c r="I7" s="10">
        <f t="shared" si="2"/>
        <v>4905144</v>
      </c>
      <c r="J7" s="11">
        <f t="shared" si="3"/>
        <v>981028.8</v>
      </c>
      <c r="K7" s="20">
        <f t="shared" si="4"/>
        <v>5886172.7999999998</v>
      </c>
    </row>
    <row r="8" spans="1:11" s="12" customFormat="1" ht="35.1" customHeight="1" x14ac:dyDescent="0.25">
      <c r="A8" s="19" t="s">
        <v>11</v>
      </c>
      <c r="B8" s="7">
        <v>10</v>
      </c>
      <c r="C8" s="7">
        <v>744</v>
      </c>
      <c r="D8" s="7">
        <v>0</v>
      </c>
      <c r="E8" s="8">
        <f t="shared" si="0"/>
        <v>7440</v>
      </c>
      <c r="F8" s="9">
        <v>13.99830431</v>
      </c>
      <c r="G8" s="13">
        <v>49.419400000000003</v>
      </c>
      <c r="H8" s="10">
        <f t="shared" si="1"/>
        <v>691.79</v>
      </c>
      <c r="I8" s="10">
        <f t="shared" si="2"/>
        <v>5146917.5999999996</v>
      </c>
      <c r="J8" s="11">
        <f t="shared" si="3"/>
        <v>1029383.52</v>
      </c>
      <c r="K8" s="20">
        <f t="shared" si="4"/>
        <v>6176301.1199999992</v>
      </c>
    </row>
    <row r="9" spans="1:11" s="12" customFormat="1" ht="35.1" customHeight="1" x14ac:dyDescent="0.25">
      <c r="A9" s="19" t="s">
        <v>19</v>
      </c>
      <c r="B9" s="7">
        <v>10</v>
      </c>
      <c r="C9" s="7">
        <v>744</v>
      </c>
      <c r="D9" s="7">
        <v>0</v>
      </c>
      <c r="E9" s="8">
        <f t="shared" si="0"/>
        <v>7440</v>
      </c>
      <c r="F9" s="9">
        <v>13.99830431</v>
      </c>
      <c r="G9" s="13">
        <v>50.345399999999998</v>
      </c>
      <c r="H9" s="10">
        <f t="shared" si="1"/>
        <v>704.75</v>
      </c>
      <c r="I9" s="10">
        <f t="shared" si="2"/>
        <v>5243340</v>
      </c>
      <c r="J9" s="11">
        <f t="shared" si="3"/>
        <v>1048668</v>
      </c>
      <c r="K9" s="20">
        <f t="shared" si="4"/>
        <v>6292008</v>
      </c>
    </row>
    <row r="10" spans="1:11" s="12" customFormat="1" ht="35.1" customHeight="1" x14ac:dyDescent="0.25">
      <c r="A10" s="27" t="s">
        <v>21</v>
      </c>
      <c r="B10" s="28">
        <v>10</v>
      </c>
      <c r="C10" s="28">
        <f>28*24</f>
        <v>672</v>
      </c>
      <c r="D10" s="28">
        <v>0</v>
      </c>
      <c r="E10" s="29">
        <f t="shared" si="0"/>
        <v>6720</v>
      </c>
      <c r="F10" s="30">
        <v>13.99830431</v>
      </c>
      <c r="G10" s="31">
        <v>51.023499999999999</v>
      </c>
      <c r="H10" s="32">
        <f t="shared" si="1"/>
        <v>714.24</v>
      </c>
      <c r="I10" s="32">
        <f t="shared" si="2"/>
        <v>4799692.7999999998</v>
      </c>
      <c r="J10" s="33">
        <f t="shared" si="3"/>
        <v>959938.56000000006</v>
      </c>
      <c r="K10" s="34">
        <f t="shared" si="4"/>
        <v>5759631.3599999994</v>
      </c>
    </row>
    <row r="11" spans="1:11" s="12" customFormat="1" ht="35.1" customHeight="1" x14ac:dyDescent="0.25">
      <c r="A11" s="27" t="s">
        <v>22</v>
      </c>
      <c r="B11" s="28">
        <v>10</v>
      </c>
      <c r="C11" s="28">
        <f>31*24-1</f>
        <v>743</v>
      </c>
      <c r="D11" s="28">
        <v>0</v>
      </c>
      <c r="E11" s="29">
        <f t="shared" ref="E11" si="5">B11*C11</f>
        <v>7430</v>
      </c>
      <c r="F11" s="30">
        <v>13.99830431</v>
      </c>
      <c r="G11" s="31">
        <v>50.7241</v>
      </c>
      <c r="H11" s="32">
        <f t="shared" ref="H11" si="6">ROUND(F11*G11,2)</f>
        <v>710.05</v>
      </c>
      <c r="I11" s="32">
        <f t="shared" ref="I11" si="7">H11*E11</f>
        <v>5275671.5</v>
      </c>
      <c r="J11" s="33">
        <f t="shared" ref="J11" si="8">ROUND(I11*20/100,2)</f>
        <v>1055134.3</v>
      </c>
      <c r="K11" s="34">
        <f t="shared" ref="K11" si="9">I11*1.2</f>
        <v>6330805.7999999998</v>
      </c>
    </row>
    <row r="12" spans="1:11" s="12" customFormat="1" ht="35.1" customHeight="1" x14ac:dyDescent="0.25">
      <c r="A12" s="27"/>
      <c r="B12" s="28"/>
      <c r="C12" s="28"/>
      <c r="D12" s="28"/>
      <c r="E12" s="29"/>
      <c r="F12" s="30"/>
      <c r="G12" s="31"/>
      <c r="H12" s="32"/>
      <c r="I12" s="32"/>
      <c r="J12" s="33"/>
      <c r="K12" s="34"/>
    </row>
    <row r="13" spans="1:11" ht="35.1" customHeight="1" thickBot="1" x14ac:dyDescent="0.35">
      <c r="A13" s="21" t="s">
        <v>8</v>
      </c>
      <c r="B13" s="22" t="s">
        <v>9</v>
      </c>
      <c r="C13" s="23">
        <f>SUM(C6:C12)</f>
        <v>4367</v>
      </c>
      <c r="D13" s="23">
        <f>SUM(D6:D12)</f>
        <v>1</v>
      </c>
      <c r="E13" s="23">
        <f>SUM(E6:E12)</f>
        <v>43670</v>
      </c>
      <c r="F13" s="23" t="s">
        <v>9</v>
      </c>
      <c r="G13" s="22" t="s">
        <v>9</v>
      </c>
      <c r="H13" s="24" t="s">
        <v>9</v>
      </c>
      <c r="I13" s="24">
        <f>SUM(I6:I12)</f>
        <v>30418061.900000002</v>
      </c>
      <c r="J13" s="25">
        <f>SUM(J6:J12)</f>
        <v>6083612.3799999999</v>
      </c>
      <c r="K13" s="26">
        <f>SUM(K6:K12)</f>
        <v>36501674.279999994</v>
      </c>
    </row>
    <row r="15" spans="1:11" x14ac:dyDescent="0.3">
      <c r="H15" s="3" t="s">
        <v>10</v>
      </c>
    </row>
  </sheetData>
  <mergeCells count="1">
    <mergeCell ref="A1:K1"/>
  </mergeCells>
  <pageMargins left="0.25" right="0.25" top="0.75" bottom="0.75" header="0.3" footer="0.3"/>
  <pageSetup paperSize="9" scale="69" orientation="landscape" r:id="rId1"/>
  <ignoredErrors>
    <ignoredError sqref="C13" formulaRange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Знаменська БЕСС</vt:lpstr>
      <vt:lpstr>Олександрійська БЕСС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Экономист</dc:creator>
  <cp:lastModifiedBy>Levon Avakyan</cp:lastModifiedBy>
  <cp:lastPrinted>2026-04-21T09:27:44Z</cp:lastPrinted>
  <dcterms:created xsi:type="dcterms:W3CDTF">2025-12-10T12:53:47Z</dcterms:created>
  <dcterms:modified xsi:type="dcterms:W3CDTF">2026-05-15T13:00:06Z</dcterms:modified>
</cp:coreProperties>
</file>