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C08EAA4-5A7F-4EAF-B3CB-F66D2FFF9946}" xr6:coauthVersionLast="47" xr6:coauthVersionMax="47" xr10:uidLastSave="{00000000-0000-0000-0000-000000000000}"/>
  <bookViews>
    <workbookView xWindow="-108" yWindow="-108" windowWidth="23256" windowHeight="12720" tabRatio="720" xr2:uid="{00000000-000D-0000-FFFF-FFFF00000000}"/>
  </bookViews>
  <sheets>
    <sheet name="ЗАГАЛЬНА ТАБЛИЦЯ" sheetId="8" r:id="rId1"/>
    <sheet name="ЗНАМЕНКА" sheetId="4" r:id="rId2"/>
    <sheet name="ОЛЕКСАНДРІЯ" sheetId="6" r:id="rId3"/>
  </sheets>
  <definedNames>
    <definedName name="_xlnm.Print_Area" localSheetId="0">'ЗАГАЛЬНА ТАБЛИЦЯ'!$A$1:$E$205</definedName>
    <definedName name="_xlnm.Print_Area" localSheetId="1">ЗНАМЕНКА!$A$1:$G$38</definedName>
    <definedName name="_xlnm.Print_Area" localSheetId="2">ОЛЕКСАНДРІЯ!$A$1:$G$38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7" i="4" l="1"/>
  <c r="L37" i="6"/>
  <c r="D25" i="4"/>
  <c r="A185" i="8" l="1"/>
  <c r="L20" i="4" l="1"/>
  <c r="L20" i="6"/>
  <c r="G3" i="6"/>
  <c r="G3" i="4"/>
  <c r="D36" i="4" l="1"/>
  <c r="D35" i="4"/>
  <c r="D34" i="4"/>
  <c r="D33" i="4"/>
  <c r="D32" i="4"/>
  <c r="D31" i="4"/>
  <c r="D30" i="4"/>
  <c r="D29" i="4"/>
  <c r="D28" i="4"/>
  <c r="D27" i="4"/>
  <c r="D26" i="4"/>
  <c r="D36" i="6"/>
  <c r="D35" i="6"/>
  <c r="D34" i="6"/>
  <c r="D33" i="6"/>
  <c r="D32" i="6"/>
  <c r="D31" i="6"/>
  <c r="D30" i="6"/>
  <c r="D29" i="6"/>
  <c r="D28" i="6"/>
  <c r="D27" i="6"/>
  <c r="D26" i="6"/>
  <c r="D25" i="6"/>
  <c r="D19" i="6"/>
  <c r="D18" i="6"/>
  <c r="D17" i="6"/>
  <c r="D16" i="6"/>
  <c r="D15" i="6"/>
  <c r="D14" i="6"/>
  <c r="D13" i="6"/>
  <c r="D12" i="6"/>
  <c r="D11" i="6"/>
  <c r="D10" i="6"/>
  <c r="D9" i="6"/>
  <c r="D8" i="6"/>
  <c r="D19" i="4"/>
  <c r="D18" i="4"/>
  <c r="D16" i="4"/>
  <c r="D15" i="4"/>
  <c r="D14" i="4"/>
  <c r="D13" i="4"/>
  <c r="D12" i="4"/>
  <c r="D11" i="4"/>
  <c r="D10" i="4"/>
  <c r="D9" i="4"/>
  <c r="D8" i="4"/>
  <c r="D17" i="4"/>
  <c r="A89" i="8" l="1"/>
  <c r="F25" i="6"/>
  <c r="G26" i="6"/>
  <c r="F26" i="6"/>
  <c r="F27" i="6"/>
  <c r="F28" i="6"/>
  <c r="F29" i="6"/>
  <c r="F30" i="6"/>
  <c r="F31" i="6"/>
  <c r="G31" i="6"/>
  <c r="F32" i="6"/>
  <c r="F33" i="6"/>
  <c r="F34" i="6"/>
  <c r="F35" i="6"/>
  <c r="G35" i="6"/>
  <c r="F36" i="6"/>
  <c r="B37" i="6"/>
  <c r="E37" i="6"/>
  <c r="F25" i="4"/>
  <c r="F26" i="4"/>
  <c r="F27" i="4"/>
  <c r="F28" i="4"/>
  <c r="G28" i="4"/>
  <c r="F29" i="4"/>
  <c r="F30" i="4"/>
  <c r="F31" i="4"/>
  <c r="F32" i="4"/>
  <c r="F33" i="4"/>
  <c r="F34" i="4"/>
  <c r="G34" i="4"/>
  <c r="F35" i="4"/>
  <c r="F36" i="4"/>
  <c r="G36" i="4"/>
  <c r="B37" i="4"/>
  <c r="E37" i="4"/>
  <c r="B97" i="8"/>
  <c r="C97" i="8"/>
  <c r="B99" i="8"/>
  <c r="C99" i="8"/>
  <c r="B103" i="8"/>
  <c r="C103" i="8"/>
  <c r="B105" i="8"/>
  <c r="C105" i="8"/>
  <c r="B109" i="8"/>
  <c r="C109" i="8"/>
  <c r="B111" i="8"/>
  <c r="C111" i="8"/>
  <c r="B115" i="8"/>
  <c r="C115" i="8"/>
  <c r="B117" i="8"/>
  <c r="C117" i="8"/>
  <c r="B121" i="8"/>
  <c r="C121" i="8"/>
  <c r="B123" i="8"/>
  <c r="C123" i="8"/>
  <c r="B127" i="8"/>
  <c r="C127" i="8"/>
  <c r="B129" i="8"/>
  <c r="C129" i="8"/>
  <c r="B133" i="8"/>
  <c r="C133" i="8"/>
  <c r="B135" i="8"/>
  <c r="C135" i="8"/>
  <c r="B139" i="8"/>
  <c r="C139" i="8"/>
  <c r="B141" i="8"/>
  <c r="C141" i="8"/>
  <c r="B145" i="8"/>
  <c r="C145" i="8"/>
  <c r="B147" i="8"/>
  <c r="C147" i="8"/>
  <c r="B151" i="8"/>
  <c r="C151" i="8"/>
  <c r="B153" i="8"/>
  <c r="C153" i="8"/>
  <c r="B157" i="8"/>
  <c r="C157" i="8"/>
  <c r="B159" i="8"/>
  <c r="C159" i="8"/>
  <c r="B163" i="8"/>
  <c r="C163" i="8"/>
  <c r="B165" i="8"/>
  <c r="C165" i="8"/>
  <c r="G36" i="6" l="1"/>
  <c r="G32" i="6"/>
  <c r="D37" i="6"/>
  <c r="G33" i="6"/>
  <c r="G29" i="6"/>
  <c r="G34" i="6"/>
  <c r="G30" i="6"/>
  <c r="G32" i="4"/>
  <c r="G30" i="4"/>
  <c r="G35" i="4"/>
  <c r="G31" i="4"/>
  <c r="D37" i="4"/>
  <c r="G33" i="4"/>
  <c r="G29" i="4"/>
  <c r="F37" i="6"/>
  <c r="G28" i="6"/>
  <c r="G27" i="6"/>
  <c r="G25" i="6"/>
  <c r="F37" i="4"/>
  <c r="G27" i="4"/>
  <c r="G26" i="4"/>
  <c r="G25" i="4"/>
  <c r="C169" i="8"/>
  <c r="D165" i="8"/>
  <c r="D159" i="8"/>
  <c r="D135" i="8"/>
  <c r="D111" i="8"/>
  <c r="B169" i="8"/>
  <c r="D151" i="8"/>
  <c r="D145" i="8"/>
  <c r="D127" i="8"/>
  <c r="D121" i="8"/>
  <c r="D103" i="8"/>
  <c r="D97" i="8"/>
  <c r="E97" i="8" s="1"/>
  <c r="D133" i="8"/>
  <c r="D115" i="8"/>
  <c r="D163" i="8"/>
  <c r="D157" i="8"/>
  <c r="D147" i="8"/>
  <c r="D139" i="8"/>
  <c r="D117" i="8"/>
  <c r="D109" i="8"/>
  <c r="D99" i="8"/>
  <c r="D141" i="8"/>
  <c r="D123" i="8"/>
  <c r="C171" i="8"/>
  <c r="C197" i="8" s="1"/>
  <c r="D153" i="8"/>
  <c r="D129" i="8"/>
  <c r="D105" i="8"/>
  <c r="B171" i="8"/>
  <c r="B197" i="8" s="1"/>
  <c r="B146" i="8"/>
  <c r="B149" i="8" s="1"/>
  <c r="B140" i="8"/>
  <c r="B143" i="8" s="1"/>
  <c r="B134" i="8"/>
  <c r="B137" i="8" s="1"/>
  <c r="B128" i="8"/>
  <c r="B131" i="8" s="1"/>
  <c r="B122" i="8"/>
  <c r="B125" i="8" s="1"/>
  <c r="B98" i="8"/>
  <c r="B101" i="8" s="1"/>
  <c r="C146" i="8"/>
  <c r="C149" i="8" s="1"/>
  <c r="C140" i="8"/>
  <c r="C143" i="8" s="1"/>
  <c r="C134" i="8"/>
  <c r="C137" i="8" s="1"/>
  <c r="C128" i="8"/>
  <c r="C131" i="8" s="1"/>
  <c r="C122" i="8"/>
  <c r="C125" i="8" s="1"/>
  <c r="C116" i="8"/>
  <c r="C119" i="8" s="1"/>
  <c r="C110" i="8"/>
  <c r="C113" i="8" s="1"/>
  <c r="D197" i="8" l="1"/>
  <c r="G37" i="4"/>
  <c r="G37" i="6"/>
  <c r="E103" i="8"/>
  <c r="E109" i="8" s="1"/>
  <c r="E115" i="8" s="1"/>
  <c r="E121" i="8" s="1"/>
  <c r="E127" i="8" s="1"/>
  <c r="E133" i="8" s="1"/>
  <c r="E139" i="8" s="1"/>
  <c r="E145" i="8" s="1"/>
  <c r="E151" i="8" s="1"/>
  <c r="E157" i="8" s="1"/>
  <c r="E163" i="8" s="1"/>
  <c r="B124" i="8"/>
  <c r="B118" i="8"/>
  <c r="B116" i="8"/>
  <c r="B119" i="8" s="1"/>
  <c r="D122" i="8"/>
  <c r="D125" i="8" s="1"/>
  <c r="D169" i="8"/>
  <c r="C164" i="8"/>
  <c r="C167" i="8" s="1"/>
  <c r="C142" i="8"/>
  <c r="B112" i="8"/>
  <c r="C130" i="8"/>
  <c r="C98" i="8"/>
  <c r="B106" i="8"/>
  <c r="B104" i="8"/>
  <c r="B107" i="8" s="1"/>
  <c r="B154" i="8"/>
  <c r="B152" i="8"/>
  <c r="B155" i="8" s="1"/>
  <c r="B158" i="8"/>
  <c r="B161" i="8" s="1"/>
  <c r="C148" i="8"/>
  <c r="C118" i="8"/>
  <c r="C154" i="8"/>
  <c r="C160" i="8"/>
  <c r="C158" i="8"/>
  <c r="C161" i="8" s="1"/>
  <c r="D134" i="8"/>
  <c r="D137" i="8" s="1"/>
  <c r="C106" i="8"/>
  <c r="C104" i="8"/>
  <c r="C107" i="8" s="1"/>
  <c r="C152" i="8"/>
  <c r="C155" i="8" s="1"/>
  <c r="B110" i="8"/>
  <c r="B113" i="8" s="1"/>
  <c r="B166" i="8"/>
  <c r="B164" i="8"/>
  <c r="B167" i="8" s="1"/>
  <c r="D128" i="8"/>
  <c r="D131" i="8" s="1"/>
  <c r="D171" i="8"/>
  <c r="E99" i="8"/>
  <c r="B160" i="8"/>
  <c r="C166" i="8"/>
  <c r="B136" i="8"/>
  <c r="B130" i="8"/>
  <c r="C124" i="8"/>
  <c r="B148" i="8"/>
  <c r="B100" i="8"/>
  <c r="B142" i="8"/>
  <c r="C112" i="8"/>
  <c r="C100" i="8"/>
  <c r="D104" i="8" l="1"/>
  <c r="D107" i="8" s="1"/>
  <c r="D158" i="8"/>
  <c r="D161" i="8" s="1"/>
  <c r="D148" i="8"/>
  <c r="D154" i="8"/>
  <c r="D140" i="8"/>
  <c r="D143" i="8" s="1"/>
  <c r="B172" i="8"/>
  <c r="D112" i="8"/>
  <c r="D152" i="8"/>
  <c r="D155" i="8" s="1"/>
  <c r="B170" i="8"/>
  <c r="B190" i="8" s="1"/>
  <c r="D116" i="8"/>
  <c r="D119" i="8" s="1"/>
  <c r="D124" i="8"/>
  <c r="C136" i="8"/>
  <c r="D136" i="8" s="1"/>
  <c r="D160" i="8"/>
  <c r="D142" i="8"/>
  <c r="D146" i="8"/>
  <c r="D149" i="8" s="1"/>
  <c r="D130" i="8"/>
  <c r="D166" i="8"/>
  <c r="C170" i="8"/>
  <c r="C190" i="8" s="1"/>
  <c r="C204" i="8" s="1"/>
  <c r="C101" i="8"/>
  <c r="D164" i="8"/>
  <c r="D167" i="8" s="1"/>
  <c r="D106" i="8"/>
  <c r="D98" i="8"/>
  <c r="D110" i="8"/>
  <c r="D113" i="8" s="1"/>
  <c r="D100" i="8"/>
  <c r="E100" i="8" s="1"/>
  <c r="E105" i="8"/>
  <c r="B204" i="8" l="1"/>
  <c r="D204" i="8" s="1"/>
  <c r="D190" i="8"/>
  <c r="C173" i="8"/>
  <c r="B173" i="8"/>
  <c r="C172" i="8"/>
  <c r="D118" i="8"/>
  <c r="E106" i="8"/>
  <c r="E112" i="8" s="1"/>
  <c r="D170" i="8"/>
  <c r="E98" i="8"/>
  <c r="D101" i="8"/>
  <c r="E111" i="8"/>
  <c r="E190" i="8" l="1"/>
  <c r="E197" i="8"/>
  <c r="E204" i="8"/>
  <c r="D173" i="8"/>
  <c r="D172" i="8"/>
  <c r="E118" i="8"/>
  <c r="E124" i="8" s="1"/>
  <c r="E130" i="8" s="1"/>
  <c r="E136" i="8" s="1"/>
  <c r="E142" i="8" s="1"/>
  <c r="E148" i="8" s="1"/>
  <c r="E154" i="8" s="1"/>
  <c r="E160" i="8" s="1"/>
  <c r="E166" i="8" s="1"/>
  <c r="E104" i="8"/>
  <c r="E101" i="8"/>
  <c r="E117" i="8"/>
  <c r="E110" i="8" l="1"/>
  <c r="E107" i="8"/>
  <c r="E123" i="8"/>
  <c r="E116" i="8" l="1"/>
  <c r="E113" i="8"/>
  <c r="E129" i="8"/>
  <c r="E122" i="8" l="1"/>
  <c r="E119" i="8"/>
  <c r="E135" i="8"/>
  <c r="E128" i="8" l="1"/>
  <c r="E125" i="8"/>
  <c r="E141" i="8"/>
  <c r="E134" i="8" l="1"/>
  <c r="E131" i="8"/>
  <c r="E147" i="8"/>
  <c r="E140" i="8" l="1"/>
  <c r="E137" i="8"/>
  <c r="E153" i="8"/>
  <c r="E146" i="8" l="1"/>
  <c r="E143" i="8"/>
  <c r="E159" i="8"/>
  <c r="E152" i="8" l="1"/>
  <c r="E149" i="8"/>
  <c r="E165" i="8"/>
  <c r="E158" i="8" l="1"/>
  <c r="E155" i="8"/>
  <c r="E164" i="8" l="1"/>
  <c r="E167" i="8" s="1"/>
  <c r="E161" i="8"/>
  <c r="G19" i="4" l="1"/>
  <c r="G18" i="4"/>
  <c r="F17" i="4"/>
  <c r="F19" i="6"/>
  <c r="G18" i="6"/>
  <c r="G17" i="6"/>
  <c r="C78" i="8"/>
  <c r="B78" i="8"/>
  <c r="C76" i="8"/>
  <c r="B76" i="8"/>
  <c r="C72" i="8"/>
  <c r="B72" i="8"/>
  <c r="C70" i="8"/>
  <c r="B70" i="8"/>
  <c r="C60" i="8"/>
  <c r="B60" i="8"/>
  <c r="C58" i="8"/>
  <c r="B58" i="8"/>
  <c r="C54" i="8"/>
  <c r="B54" i="8"/>
  <c r="C52" i="8"/>
  <c r="B52" i="8"/>
  <c r="C48" i="8"/>
  <c r="B48" i="8"/>
  <c r="C46" i="8"/>
  <c r="B46" i="8"/>
  <c r="C42" i="8"/>
  <c r="B42" i="8"/>
  <c r="C40" i="8"/>
  <c r="B40" i="8"/>
  <c r="C36" i="8"/>
  <c r="B36" i="8"/>
  <c r="C34" i="8"/>
  <c r="B34" i="8"/>
  <c r="C30" i="8"/>
  <c r="B30" i="8"/>
  <c r="C28" i="8"/>
  <c r="B28" i="8"/>
  <c r="C24" i="8"/>
  <c r="B24" i="8"/>
  <c r="C22" i="8"/>
  <c r="B22" i="8"/>
  <c r="C18" i="8"/>
  <c r="B18" i="8"/>
  <c r="C16" i="8"/>
  <c r="B16" i="8"/>
  <c r="C12" i="8"/>
  <c r="B12" i="8"/>
  <c r="C10" i="8"/>
  <c r="B10" i="8"/>
  <c r="C66" i="8"/>
  <c r="B66" i="8"/>
  <c r="C64" i="8"/>
  <c r="B64" i="8"/>
  <c r="E20" i="4"/>
  <c r="E20" i="6"/>
  <c r="B20" i="4"/>
  <c r="B20" i="6"/>
  <c r="F8" i="6" l="1"/>
  <c r="G10" i="6"/>
  <c r="G14" i="6"/>
  <c r="F11" i="6"/>
  <c r="C79" i="8"/>
  <c r="G15" i="6"/>
  <c r="F12" i="6"/>
  <c r="G16" i="6"/>
  <c r="G9" i="6"/>
  <c r="G13" i="6"/>
  <c r="G15" i="4"/>
  <c r="G8" i="4"/>
  <c r="F16" i="4"/>
  <c r="F9" i="4"/>
  <c r="G11" i="4"/>
  <c r="G10" i="4"/>
  <c r="G14" i="4"/>
  <c r="F14" i="4"/>
  <c r="B41" i="8"/>
  <c r="B44" i="8" s="1"/>
  <c r="F13" i="4"/>
  <c r="G12" i="4"/>
  <c r="F12" i="4"/>
  <c r="B67" i="8"/>
  <c r="G13" i="4"/>
  <c r="F14" i="6"/>
  <c r="C65" i="8"/>
  <c r="C68" i="8" s="1"/>
  <c r="F19" i="4"/>
  <c r="G11" i="6"/>
  <c r="C35" i="8"/>
  <c r="C38" i="8" s="1"/>
  <c r="C47" i="8"/>
  <c r="C50" i="8" s="1"/>
  <c r="C11" i="8"/>
  <c r="C14" i="8" s="1"/>
  <c r="G16" i="4"/>
  <c r="F15" i="6"/>
  <c r="B11" i="8"/>
  <c r="B14" i="8" s="1"/>
  <c r="B23" i="8"/>
  <c r="B26" i="8" s="1"/>
  <c r="B35" i="8"/>
  <c r="B38" i="8" s="1"/>
  <c r="B47" i="8"/>
  <c r="B50" i="8" s="1"/>
  <c r="B59" i="8"/>
  <c r="B62" i="8" s="1"/>
  <c r="B77" i="8"/>
  <c r="B80" i="8" s="1"/>
  <c r="G9" i="4"/>
  <c r="C23" i="8"/>
  <c r="C26" i="8" s="1"/>
  <c r="C77" i="8"/>
  <c r="C80" i="8" s="1"/>
  <c r="F11" i="4"/>
  <c r="C59" i="8"/>
  <c r="C62" i="8" s="1"/>
  <c r="G12" i="6"/>
  <c r="G17" i="4"/>
  <c r="B65" i="8"/>
  <c r="B68" i="8" s="1"/>
  <c r="B17" i="8"/>
  <c r="B20" i="8" s="1"/>
  <c r="B29" i="8"/>
  <c r="B53" i="8"/>
  <c r="B56" i="8" s="1"/>
  <c r="B71" i="8"/>
  <c r="B74" i="8" s="1"/>
  <c r="G19" i="6"/>
  <c r="C17" i="8"/>
  <c r="C20" i="8" s="1"/>
  <c r="C29" i="8"/>
  <c r="C32" i="8" s="1"/>
  <c r="C41" i="8"/>
  <c r="C44" i="8" s="1"/>
  <c r="C53" i="8"/>
  <c r="C56" i="8" s="1"/>
  <c r="C71" i="8"/>
  <c r="C74" i="8" s="1"/>
  <c r="D72" i="8"/>
  <c r="B82" i="8"/>
  <c r="B175" i="8" s="1"/>
  <c r="D76" i="8"/>
  <c r="D78" i="8"/>
  <c r="C82" i="8"/>
  <c r="C175" i="8" s="1"/>
  <c r="B84" i="8"/>
  <c r="C84" i="8"/>
  <c r="D70" i="8"/>
  <c r="D64" i="8"/>
  <c r="D58" i="8"/>
  <c r="D66" i="8"/>
  <c r="D60" i="8"/>
  <c r="D48" i="8"/>
  <c r="D10" i="8"/>
  <c r="E10" i="8" s="1"/>
  <c r="D16" i="8"/>
  <c r="D52" i="8"/>
  <c r="D46" i="8"/>
  <c r="D28" i="8"/>
  <c r="D12" i="8"/>
  <c r="D54" i="8"/>
  <c r="D42" i="8"/>
  <c r="D34" i="8"/>
  <c r="D36" i="8"/>
  <c r="D40" i="8"/>
  <c r="D24" i="8"/>
  <c r="D18" i="8"/>
  <c r="D30" i="8"/>
  <c r="D22" i="8"/>
  <c r="D20" i="6"/>
  <c r="D20" i="4"/>
  <c r="F10" i="6"/>
  <c r="F18" i="6"/>
  <c r="F15" i="4"/>
  <c r="F13" i="6"/>
  <c r="F10" i="4"/>
  <c r="F18" i="4"/>
  <c r="F16" i="6"/>
  <c r="F9" i="6"/>
  <c r="F17" i="6"/>
  <c r="G8" i="6"/>
  <c r="F8" i="4"/>
  <c r="C177" i="8" l="1"/>
  <c r="C196" i="8"/>
  <c r="C198" i="8" s="1"/>
  <c r="B177" i="8"/>
  <c r="B196" i="8"/>
  <c r="D175" i="8"/>
  <c r="B19" i="8"/>
  <c r="C13" i="8"/>
  <c r="B61" i="8"/>
  <c r="C31" i="8"/>
  <c r="C37" i="8"/>
  <c r="D29" i="8"/>
  <c r="D32" i="8" s="1"/>
  <c r="G20" i="6"/>
  <c r="G20" i="4"/>
  <c r="B43" i="8"/>
  <c r="C43" i="8"/>
  <c r="B49" i="8"/>
  <c r="C61" i="8"/>
  <c r="B55" i="8"/>
  <c r="B79" i="8"/>
  <c r="C67" i="8"/>
  <c r="B73" i="8"/>
  <c r="C73" i="8"/>
  <c r="C19" i="8"/>
  <c r="C25" i="8"/>
  <c r="C55" i="8"/>
  <c r="C49" i="8"/>
  <c r="B31" i="8"/>
  <c r="B37" i="8"/>
  <c r="B25" i="8"/>
  <c r="D65" i="8"/>
  <c r="D68" i="8" s="1"/>
  <c r="D59" i="8"/>
  <c r="D62" i="8" s="1"/>
  <c r="D41" i="8"/>
  <c r="D44" i="8" s="1"/>
  <c r="D71" i="8"/>
  <c r="D74" i="8" s="1"/>
  <c r="D11" i="8"/>
  <c r="E11" i="8" s="1"/>
  <c r="D23" i="8"/>
  <c r="B32" i="8"/>
  <c r="D53" i="8"/>
  <c r="D56" i="8" s="1"/>
  <c r="C83" i="8"/>
  <c r="D47" i="8"/>
  <c r="D50" i="8" s="1"/>
  <c r="D17" i="8"/>
  <c r="D77" i="8"/>
  <c r="D80" i="8" s="1"/>
  <c r="D35" i="8"/>
  <c r="D38" i="8" s="1"/>
  <c r="F20" i="6"/>
  <c r="F20" i="4"/>
  <c r="B13" i="8"/>
  <c r="B83" i="8"/>
  <c r="E16" i="8"/>
  <c r="E22" i="8" s="1"/>
  <c r="E28" i="8" s="1"/>
  <c r="E34" i="8" s="1"/>
  <c r="E40" i="8" s="1"/>
  <c r="E46" i="8" s="1"/>
  <c r="E52" i="8" s="1"/>
  <c r="E58" i="8" s="1"/>
  <c r="E64" i="8" s="1"/>
  <c r="E70" i="8" s="1"/>
  <c r="E76" i="8" s="1"/>
  <c r="E12" i="8"/>
  <c r="D82" i="8"/>
  <c r="D84" i="8"/>
  <c r="C176" i="8" l="1"/>
  <c r="C189" i="8"/>
  <c r="D196" i="8"/>
  <c r="D198" i="8" s="1"/>
  <c r="D177" i="8"/>
  <c r="B198" i="8"/>
  <c r="B176" i="8"/>
  <c r="B189" i="8"/>
  <c r="D61" i="8"/>
  <c r="D25" i="8"/>
  <c r="D37" i="8"/>
  <c r="D73" i="8"/>
  <c r="D55" i="8"/>
  <c r="D31" i="8"/>
  <c r="D19" i="8"/>
  <c r="D43" i="8"/>
  <c r="D79" i="8"/>
  <c r="D67" i="8"/>
  <c r="D49" i="8"/>
  <c r="B85" i="8"/>
  <c r="B178" i="8" s="1"/>
  <c r="C85" i="8"/>
  <c r="C178" i="8" s="1"/>
  <c r="D26" i="8"/>
  <c r="C86" i="8"/>
  <c r="D14" i="8"/>
  <c r="E14" i="8"/>
  <c r="E17" i="8"/>
  <c r="E23" i="8" s="1"/>
  <c r="E29" i="8" s="1"/>
  <c r="E35" i="8" s="1"/>
  <c r="E41" i="8" s="1"/>
  <c r="E47" i="8" s="1"/>
  <c r="E53" i="8" s="1"/>
  <c r="E59" i="8" s="1"/>
  <c r="E65" i="8" s="1"/>
  <c r="E71" i="8" s="1"/>
  <c r="E77" i="8" s="1"/>
  <c r="D20" i="8"/>
  <c r="D83" i="8"/>
  <c r="B86" i="8"/>
  <c r="D13" i="8"/>
  <c r="E13" i="8" s="1"/>
  <c r="E18" i="8"/>
  <c r="E24" i="8" s="1"/>
  <c r="D176" i="8" l="1"/>
  <c r="C203" i="8"/>
  <c r="C205" i="8" s="1"/>
  <c r="C191" i="8"/>
  <c r="D189" i="8"/>
  <c r="B203" i="8"/>
  <c r="B191" i="8"/>
  <c r="D178" i="8"/>
  <c r="E19" i="8"/>
  <c r="E25" i="8" s="1"/>
  <c r="E31" i="8" s="1"/>
  <c r="E37" i="8" s="1"/>
  <c r="E43" i="8" s="1"/>
  <c r="E49" i="8" s="1"/>
  <c r="E55" i="8" s="1"/>
  <c r="E61" i="8" s="1"/>
  <c r="E67" i="8" s="1"/>
  <c r="E73" i="8" s="1"/>
  <c r="E79" i="8" s="1"/>
  <c r="D85" i="8"/>
  <c r="D86" i="8"/>
  <c r="E20" i="8"/>
  <c r="E26" i="8"/>
  <c r="E30" i="8"/>
  <c r="D203" i="8" l="1"/>
  <c r="B205" i="8"/>
  <c r="E189" i="8"/>
  <c r="E191" i="8" s="1"/>
  <c r="D191" i="8"/>
  <c r="E196" i="8"/>
  <c r="E36" i="8"/>
  <c r="E32" i="8"/>
  <c r="E198" i="8" l="1"/>
  <c r="D205" i="8"/>
  <c r="E205" i="8" s="1"/>
  <c r="E203" i="8"/>
  <c r="E42" i="8"/>
  <c r="E38" i="8"/>
  <c r="E44" i="8" l="1"/>
  <c r="E48" i="8"/>
  <c r="E54" i="8" l="1"/>
  <c r="E50" i="8"/>
  <c r="E56" i="8" l="1"/>
  <c r="E60" i="8"/>
  <c r="E62" i="8" l="1"/>
  <c r="E66" i="8"/>
  <c r="E68" i="8" l="1"/>
  <c r="E72" i="8"/>
  <c r="E74" i="8" l="1"/>
  <c r="E78" i="8"/>
  <c r="E80" i="8" l="1"/>
  <c r="C179" i="8"/>
  <c r="B179" i="8" l="1"/>
  <c r="D179" i="8" l="1"/>
</calcChain>
</file>

<file path=xl/sharedStrings.xml><?xml version="1.0" encoding="utf-8"?>
<sst xmlns="http://schemas.openxmlformats.org/spreadsheetml/2006/main" count="336" uniqueCount="101">
  <si>
    <t>ПОКУПЕЦЬ</t>
  </si>
  <si>
    <t>%% виплат</t>
  </si>
  <si>
    <t>НЕК "УКРЕНЕРГО"</t>
  </si>
  <si>
    <t>ПОКАЗНИКИ</t>
  </si>
  <si>
    <t>ВСЬОГО:</t>
  </si>
  <si>
    <t>Нараховано, Гривень</t>
  </si>
  <si>
    <t>Виплачено, Гривень</t>
  </si>
  <si>
    <t>Заборгованість, Гривень</t>
  </si>
  <si>
    <t>НАРАХОВАНО,
грн.</t>
  </si>
  <si>
    <r>
      <t xml:space="preserve">ВСЬОГО </t>
    </r>
    <r>
      <rPr>
        <b/>
        <sz val="11"/>
        <color theme="1"/>
        <rFont val="Calibri"/>
        <family val="2"/>
        <charset val="204"/>
        <scheme val="minor"/>
      </rPr>
      <t xml:space="preserve"> ПІДСУМКОМ</t>
    </r>
    <r>
      <rPr>
        <b/>
        <sz val="12"/>
        <color theme="1"/>
        <rFont val="Calibri"/>
        <family val="2"/>
        <charset val="204"/>
        <scheme val="minor"/>
      </rPr>
      <t>:</t>
    </r>
  </si>
  <si>
    <t>ВСЬОГО   за   2025  рік</t>
  </si>
  <si>
    <t>ГРУДЕНЬ   2025</t>
  </si>
  <si>
    <t>ЛИСТОПАД   2025</t>
  </si>
  <si>
    <t>ЖОВТЕНЬ   2025</t>
  </si>
  <si>
    <t>ВЕРЕСЕНЬ   2025</t>
  </si>
  <si>
    <t>СЕРПЕНЬ   2025</t>
  </si>
  <si>
    <t xml:space="preserve"> ЛИПЕНЬ   2025</t>
  </si>
  <si>
    <t>ЧЕРВЕНЬ   2025</t>
  </si>
  <si>
    <t>ТРАВЕНЬ   2025</t>
  </si>
  <si>
    <t>КВІТЕНЬ   2025</t>
  </si>
  <si>
    <t>БЕРЕЗЕНЬ   2025</t>
  </si>
  <si>
    <t>ЛЮТИЙ   2025</t>
  </si>
  <si>
    <t>СІЧЕНЬ   2025</t>
  </si>
  <si>
    <t>2 0 2 5   р і к</t>
  </si>
  <si>
    <t>2025 рік</t>
  </si>
  <si>
    <t>січень 2025</t>
  </si>
  <si>
    <t>лютий 2025</t>
  </si>
  <si>
    <t>березень 2025</t>
  </si>
  <si>
    <t>квітень 2025</t>
  </si>
  <si>
    <t>травень 2025</t>
  </si>
  <si>
    <t>червень 2025</t>
  </si>
  <si>
    <t>липень 2025</t>
  </si>
  <si>
    <t>серпень 2025</t>
  </si>
  <si>
    <t>вересень 2025</t>
  </si>
  <si>
    <t>жовтень 2025</t>
  </si>
  <si>
    <t>листопад 2025</t>
  </si>
  <si>
    <t>грудень 2025</t>
  </si>
  <si>
    <t>ВСЬОГО за 2025 рік:</t>
  </si>
  <si>
    <t>ДАТА
ОПЛАТИ</t>
  </si>
  <si>
    <t>За який місяць</t>
  </si>
  <si>
    <t>Сума
оплати, грн.</t>
  </si>
  <si>
    <t>2026 рік</t>
  </si>
  <si>
    <t>січень 2026</t>
  </si>
  <si>
    <t>лютий 2026</t>
  </si>
  <si>
    <t>березень 2026</t>
  </si>
  <si>
    <t>квітень 2026</t>
  </si>
  <si>
    <t>травень 2026</t>
  </si>
  <si>
    <t>червень 2026</t>
  </si>
  <si>
    <t>липень 2026</t>
  </si>
  <si>
    <t>серпень 2026</t>
  </si>
  <si>
    <t>вересень 2026</t>
  </si>
  <si>
    <t>жовтень 2026</t>
  </si>
  <si>
    <t>листопад 2026</t>
  </si>
  <si>
    <t>грудень 2026</t>
  </si>
  <si>
    <t>ВСЬОГО за 2026 рік:</t>
  </si>
  <si>
    <t>ОПЛАТА
за надані допоміжні послуги з регулювання частоти та активної потужності (дРПЧ_с)</t>
  </si>
  <si>
    <t>2 0 2 6   р і к</t>
  </si>
  <si>
    <t>СІЧЕНЬ   2026</t>
  </si>
  <si>
    <t>ЛЮТИЙ   2026</t>
  </si>
  <si>
    <t>БЕРЕЗЕНЬ   2026</t>
  </si>
  <si>
    <t>КВІТЕНЬ   2026</t>
  </si>
  <si>
    <t>ТРАВЕНЬ   2026</t>
  </si>
  <si>
    <t>ЧЕРВЕНЬ   2026</t>
  </si>
  <si>
    <t xml:space="preserve"> ЛИПЕНЬ   2026</t>
  </si>
  <si>
    <t>СЕРПЕНЬ   2026</t>
  </si>
  <si>
    <t>ВЕРЕСЕНЬ   2026</t>
  </si>
  <si>
    <t>ЖОВТЕНЬ   2026</t>
  </si>
  <si>
    <t>ЛИСТОПАД   2026</t>
  </si>
  <si>
    <t>ГРУДЕНЬ   2026</t>
  </si>
  <si>
    <t>ВСЬОГО   за   2026  рік</t>
  </si>
  <si>
    <t>ЦІНА
(середньозважена) за період, грн</t>
  </si>
  <si>
    <t>ТОВ  "ЗНАМЕНСЬКА БЕСС"</t>
  </si>
  <si>
    <t>ТОВ  "ОЛЕКСАНДРІЙСЬКА БЕСС"</t>
  </si>
  <si>
    <t>10,32180 МВт*год</t>
  </si>
  <si>
    <t>15,33776 МВт*год</t>
  </si>
  <si>
    <t>ВИПЛАЧЕНО, 
грн.</t>
  </si>
  <si>
    <t>ЗАБОРГОВАНІСТЬ, 
грн.</t>
  </si>
  <si>
    <t>ОБСЯГ ПОСЛУГ, МВт</t>
  </si>
  <si>
    <t>дРПЧ_с, МВт</t>
  </si>
  <si>
    <t>ОБСЯГ ПОСЛУГ, 
МВт</t>
  </si>
  <si>
    <t>09</t>
  </si>
  <si>
    <t>ТОВ  "ОЛЕКСАНДРІЙСЬКА БЕСС"  - 10 МВт</t>
  </si>
  <si>
    <t>ТОВ  "ЗНАМЕНСЬКА БЕСС"  - 8 МВт</t>
  </si>
  <si>
    <t>ОПЛАТА
за надані допоміжні послуги з регулювання частоти та активної потужності (РПЧ)</t>
  </si>
  <si>
    <t>10</t>
  </si>
  <si>
    <t>11</t>
  </si>
  <si>
    <t>РАЗОМ   за   2025-2026  роки</t>
  </si>
  <si>
    <t>НАРАХОВАНО</t>
  </si>
  <si>
    <t>ПЕРІОД</t>
  </si>
  <si>
    <t>%</t>
  </si>
  <si>
    <t>за 2025 рік</t>
  </si>
  <si>
    <t>за 2026 рік</t>
  </si>
  <si>
    <t>РАЗОМ:</t>
  </si>
  <si>
    <t>ВИПЛАЧЕНО</t>
  </si>
  <si>
    <t>ЗАГАЛЬНА ЗАБОРГОВАНІСТЬ</t>
  </si>
  <si>
    <t>12</t>
  </si>
  <si>
    <t>01</t>
  </si>
  <si>
    <t>УЗАГАЛЬНЕНА ІНФОРМАЦІЯ
по розрахункам НЕК "УКРЕНЕРГО" 
за надані допоміжні послуги з регулювання частоти та активної потужності (РПЧ)</t>
  </si>
  <si>
    <t>02</t>
  </si>
  <si>
    <t>03</t>
  </si>
  <si>
    <t>станом на 30.04.2026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</si>
</sst>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-#,##0.00;\-"/>
    <numFmt numFmtId="165" formatCode="#,##0;[Red]\-#,##0;\-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b/>
      <i/>
      <u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b/>
      <sz val="10"/>
      <color theme="1"/>
      <name val="Aharoni"/>
      <charset val="177"/>
    </font>
    <font>
      <b/>
      <sz val="11"/>
      <color theme="1"/>
      <name val="Aharoni"/>
      <charset val="177"/>
    </font>
    <font>
      <sz val="12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i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Bahnschrift Light"/>
      <family val="2"/>
      <charset val="204"/>
    </font>
    <font>
      <b/>
      <sz val="11"/>
      <name val="Bahnschrift Light"/>
      <family val="2"/>
      <charset val="204"/>
    </font>
    <font>
      <i/>
      <sz val="11"/>
      <name val="Bahnschrift Light"/>
      <family val="2"/>
      <charset val="204"/>
    </font>
    <font>
      <b/>
      <i/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9" tint="-0.249977111117893"/>
      <name val="Calibri"/>
      <family val="2"/>
      <charset val="204"/>
      <scheme val="minor"/>
    </font>
    <font>
      <i/>
      <sz val="13"/>
      <color rgb="FFFF0000"/>
      <name val="Calibri"/>
      <family val="2"/>
      <charset val="204"/>
      <scheme val="minor"/>
    </font>
    <font>
      <sz val="12"/>
      <name val="Bahnschrift Light"/>
      <family val="2"/>
      <charset val="204"/>
    </font>
    <font>
      <b/>
      <sz val="12"/>
      <name val="Bahnschrift Light"/>
      <family val="2"/>
      <charset val="204"/>
    </font>
    <font>
      <i/>
      <sz val="14"/>
      <color theme="9" tint="-0.249977111117893"/>
      <name val="Bahnschrift Light"/>
      <family val="2"/>
      <charset val="204"/>
    </font>
    <font>
      <sz val="13"/>
      <name val="Calibri"/>
      <family val="2"/>
      <charset val="204"/>
      <scheme val="minor"/>
    </font>
    <font>
      <b/>
      <sz val="13"/>
      <name val="Calibri"/>
      <family val="2"/>
      <charset val="204"/>
      <scheme val="minor"/>
    </font>
    <font>
      <i/>
      <sz val="13"/>
      <color theme="9" tint="-0.249977111117893"/>
      <name val="Calibri"/>
      <family val="2"/>
      <charset val="204"/>
      <scheme val="minor"/>
    </font>
    <font>
      <sz val="13"/>
      <color rgb="FFFF0000"/>
      <name val="Calibri"/>
      <family val="2"/>
      <charset val="204"/>
      <scheme val="minor"/>
    </font>
    <font>
      <b/>
      <sz val="13"/>
      <color rgb="FFFF0000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i/>
      <u/>
      <sz val="20"/>
      <color rgb="FF002060"/>
      <name val="Calibri"/>
      <family val="2"/>
      <scheme val="minor"/>
    </font>
    <font>
      <sz val="20"/>
      <color rgb="FF002060"/>
      <name val="Calibri"/>
      <family val="2"/>
      <scheme val="minor"/>
    </font>
    <font>
      <b/>
      <sz val="28"/>
      <color theme="1"/>
      <name val="Calibri"/>
      <family val="2"/>
      <charset val="204"/>
      <scheme val="minor"/>
    </font>
    <font>
      <sz val="24"/>
      <name val="Baskerville Old Face"/>
      <family val="1"/>
    </font>
    <font>
      <sz val="24"/>
      <color theme="1"/>
      <name val="Calibri"/>
      <family val="2"/>
      <charset val="204"/>
      <scheme val="minor"/>
    </font>
    <font>
      <b/>
      <sz val="16"/>
      <color rgb="FFC00000"/>
      <name val="Calibri"/>
      <family val="2"/>
      <charset val="204"/>
      <scheme val="minor"/>
    </font>
    <font>
      <b/>
      <sz val="16"/>
      <color rgb="FFC00000"/>
      <name val="Calibri"/>
      <family val="2"/>
      <scheme val="minor"/>
    </font>
    <font>
      <b/>
      <sz val="24"/>
      <color rgb="FF002060"/>
      <name val="Calibri"/>
      <family val="2"/>
      <charset val="204"/>
      <scheme val="minor"/>
    </font>
    <font>
      <b/>
      <sz val="18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sz val="22"/>
      <color rgb="FF002060"/>
      <name val="Aharoni"/>
      <charset val="177"/>
    </font>
    <font>
      <b/>
      <sz val="14"/>
      <color rgb="FFC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6"/>
      <color rgb="FF002060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  <font>
      <sz val="14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5AFD7"/>
        <bgColor indexed="64"/>
      </patternFill>
    </fill>
    <fill>
      <patternFill patternType="solid">
        <fgColor rgb="FFECC6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230">
    <xf numFmtId="0" fontId="0" fillId="0" borderId="0" xfId="0"/>
    <xf numFmtId="0" fontId="3" fillId="0" borderId="0" xfId="1"/>
    <xf numFmtId="0" fontId="5" fillId="0" borderId="0" xfId="1" applyFont="1"/>
    <xf numFmtId="0" fontId="13" fillId="0" borderId="0" xfId="1" applyFont="1"/>
    <xf numFmtId="0" fontId="14" fillId="0" borderId="0" xfId="1" applyFont="1"/>
    <xf numFmtId="0" fontId="22" fillId="0" borderId="8" xfId="1" applyFont="1" applyBorder="1"/>
    <xf numFmtId="0" fontId="22" fillId="0" borderId="5" xfId="1" applyFont="1" applyBorder="1"/>
    <xf numFmtId="3" fontId="23" fillId="0" borderId="6" xfId="1" applyNumberFormat="1" applyFont="1" applyBorder="1" applyAlignment="1">
      <alignment horizontal="center"/>
    </xf>
    <xf numFmtId="3" fontId="24" fillId="0" borderId="12" xfId="1" applyNumberFormat="1" applyFont="1" applyBorder="1" applyAlignment="1">
      <alignment horizontal="center"/>
    </xf>
    <xf numFmtId="0" fontId="12" fillId="0" borderId="0" xfId="1" applyFont="1" applyAlignment="1">
      <alignment horizontal="center"/>
    </xf>
    <xf numFmtId="3" fontId="32" fillId="0" borderId="0" xfId="1" applyNumberFormat="1" applyFont="1" applyAlignment="1">
      <alignment horizontal="center"/>
    </xf>
    <xf numFmtId="4" fontId="35" fillId="0" borderId="0" xfId="1" applyNumberFormat="1" applyFont="1"/>
    <xf numFmtId="4" fontId="29" fillId="0" borderId="0" xfId="1" applyNumberFormat="1" applyFont="1"/>
    <xf numFmtId="0" fontId="28" fillId="0" borderId="0" xfId="1" applyFont="1" applyAlignment="1">
      <alignment horizontal="left"/>
    </xf>
    <xf numFmtId="3" fontId="25" fillId="0" borderId="18" xfId="1" applyNumberFormat="1" applyFont="1" applyBorder="1" applyAlignment="1">
      <alignment horizontal="center"/>
    </xf>
    <xf numFmtId="0" fontId="40" fillId="0" borderId="0" xfId="1" applyFont="1"/>
    <xf numFmtId="0" fontId="22" fillId="0" borderId="13" xfId="1" applyFont="1" applyBorder="1"/>
    <xf numFmtId="0" fontId="22" fillId="0" borderId="27" xfId="1" applyFont="1" applyBorder="1" applyAlignment="1">
      <alignment horizontal="center"/>
    </xf>
    <xf numFmtId="10" fontId="27" fillId="0" borderId="28" xfId="1" applyNumberFormat="1" applyFont="1" applyBorder="1" applyAlignment="1">
      <alignment horizontal="left"/>
    </xf>
    <xf numFmtId="10" fontId="22" fillId="0" borderId="17" xfId="1" applyNumberFormat="1" applyFont="1" applyBorder="1" applyAlignment="1">
      <alignment horizontal="left"/>
    </xf>
    <xf numFmtId="0" fontId="42" fillId="0" borderId="0" xfId="0" applyFont="1"/>
    <xf numFmtId="0" fontId="45" fillId="0" borderId="0" xfId="0" applyFont="1"/>
    <xf numFmtId="0" fontId="7" fillId="2" borderId="27" xfId="0" applyFont="1" applyFill="1" applyBorder="1" applyAlignment="1">
      <alignment horizontal="center" vertical="top" wrapText="1"/>
    </xf>
    <xf numFmtId="0" fontId="7" fillId="2" borderId="28" xfId="0" applyFont="1" applyFill="1" applyBorder="1" applyAlignment="1">
      <alignment horizontal="center" vertical="top" wrapText="1"/>
    </xf>
    <xf numFmtId="0" fontId="7" fillId="2" borderId="29" xfId="0" applyFont="1" applyFill="1" applyBorder="1" applyAlignment="1">
      <alignment horizontal="center" vertical="top" wrapText="1"/>
    </xf>
    <xf numFmtId="3" fontId="4" fillId="2" borderId="28" xfId="0" applyNumberFormat="1" applyFont="1" applyFill="1" applyBorder="1" applyAlignment="1">
      <alignment horizontal="center"/>
    </xf>
    <xf numFmtId="4" fontId="4" fillId="2" borderId="28" xfId="0" applyNumberFormat="1" applyFont="1" applyFill="1" applyBorder="1"/>
    <xf numFmtId="10" fontId="4" fillId="2" borderId="29" xfId="0" applyNumberFormat="1" applyFont="1" applyFill="1" applyBorder="1"/>
    <xf numFmtId="0" fontId="4" fillId="0" borderId="0" xfId="0" applyFont="1"/>
    <xf numFmtId="10" fontId="41" fillId="0" borderId="11" xfId="0" applyNumberFormat="1" applyFont="1" applyBorder="1"/>
    <xf numFmtId="10" fontId="38" fillId="0" borderId="24" xfId="1" applyNumberFormat="1" applyFont="1" applyBorder="1"/>
    <xf numFmtId="0" fontId="22" fillId="3" borderId="5" xfId="1" applyFont="1" applyFill="1" applyBorder="1"/>
    <xf numFmtId="3" fontId="30" fillId="3" borderId="6" xfId="1" applyNumberFormat="1" applyFont="1" applyFill="1" applyBorder="1" applyAlignment="1">
      <alignment horizontal="center"/>
    </xf>
    <xf numFmtId="3" fontId="31" fillId="3" borderId="12" xfId="1" applyNumberFormat="1" applyFont="1" applyFill="1" applyBorder="1" applyAlignment="1">
      <alignment horizontal="center"/>
    </xf>
    <xf numFmtId="0" fontId="22" fillId="3" borderId="8" xfId="1" applyFont="1" applyFill="1" applyBorder="1"/>
    <xf numFmtId="0" fontId="22" fillId="3" borderId="15" xfId="1" applyFont="1" applyFill="1" applyBorder="1" applyAlignment="1">
      <alignment horizontal="center"/>
    </xf>
    <xf numFmtId="10" fontId="10" fillId="3" borderId="16" xfId="1" applyNumberFormat="1" applyFont="1" applyFill="1" applyBorder="1" applyAlignment="1">
      <alignment horizontal="left"/>
    </xf>
    <xf numFmtId="10" fontId="18" fillId="3" borderId="10" xfId="1" applyNumberFormat="1" applyFont="1" applyFill="1" applyBorder="1" applyAlignment="1">
      <alignment horizontal="left"/>
    </xf>
    <xf numFmtId="0" fontId="15" fillId="2" borderId="3" xfId="1" applyFont="1" applyFill="1" applyBorder="1" applyAlignment="1">
      <alignment horizontal="center" vertical="top"/>
    </xf>
    <xf numFmtId="0" fontId="16" fillId="2" borderId="3" xfId="1" applyFont="1" applyFill="1" applyBorder="1" applyAlignment="1">
      <alignment horizontal="center" vertical="top"/>
    </xf>
    <xf numFmtId="0" fontId="11" fillId="2" borderId="21" xfId="1" applyFont="1" applyFill="1" applyBorder="1" applyAlignment="1">
      <alignment horizontal="center" vertical="top"/>
    </xf>
    <xf numFmtId="164" fontId="10" fillId="0" borderId="1" xfId="1" applyNumberFormat="1" applyFont="1" applyBorder="1"/>
    <xf numFmtId="164" fontId="18" fillId="0" borderId="9" xfId="1" applyNumberFormat="1" applyFont="1" applyBorder="1"/>
    <xf numFmtId="164" fontId="19" fillId="0" borderId="19" xfId="1" applyNumberFormat="1" applyFont="1" applyBorder="1"/>
    <xf numFmtId="164" fontId="18" fillId="0" borderId="1" xfId="1" applyNumberFormat="1" applyFont="1" applyBorder="1"/>
    <xf numFmtId="164" fontId="26" fillId="0" borderId="19" xfId="1" applyNumberFormat="1" applyFont="1" applyBorder="1"/>
    <xf numFmtId="164" fontId="33" fillId="3" borderId="1" xfId="1" applyNumberFormat="1" applyFont="1" applyFill="1" applyBorder="1"/>
    <xf numFmtId="164" fontId="34" fillId="3" borderId="9" xfId="1" applyNumberFormat="1" applyFont="1" applyFill="1" applyBorder="1"/>
    <xf numFmtId="164" fontId="34" fillId="3" borderId="1" xfId="1" applyNumberFormat="1" applyFont="1" applyFill="1" applyBorder="1"/>
    <xf numFmtId="164" fontId="41" fillId="0" borderId="1" xfId="0" applyNumberFormat="1" applyFont="1" applyBorder="1"/>
    <xf numFmtId="164" fontId="17" fillId="0" borderId="14" xfId="1" applyNumberFormat="1" applyFont="1" applyBorder="1"/>
    <xf numFmtId="164" fontId="20" fillId="0" borderId="25" xfId="1" applyNumberFormat="1" applyFont="1" applyBorder="1"/>
    <xf numFmtId="164" fontId="21" fillId="0" borderId="26" xfId="1" applyNumberFormat="1" applyFont="1" applyBorder="1"/>
    <xf numFmtId="164" fontId="36" fillId="3" borderId="1" xfId="1" applyNumberFormat="1" applyFont="1" applyFill="1" applyBorder="1"/>
    <xf numFmtId="164" fontId="37" fillId="3" borderId="9" xfId="1" applyNumberFormat="1" applyFont="1" applyFill="1" applyBorder="1"/>
    <xf numFmtId="165" fontId="41" fillId="0" borderId="1" xfId="0" applyNumberFormat="1" applyFont="1" applyBorder="1" applyAlignment="1">
      <alignment horizontal="center"/>
    </xf>
    <xf numFmtId="165" fontId="41" fillId="4" borderId="1" xfId="0" applyNumberFormat="1" applyFont="1" applyFill="1" applyBorder="1" applyAlignment="1">
      <alignment horizontal="center"/>
    </xf>
    <xf numFmtId="164" fontId="41" fillId="4" borderId="1" xfId="0" applyNumberFormat="1" applyFont="1" applyFill="1" applyBorder="1"/>
    <xf numFmtId="0" fontId="48" fillId="0" borderId="0" xfId="1" applyFont="1"/>
    <xf numFmtId="4" fontId="50" fillId="7" borderId="29" xfId="0" applyNumberFormat="1" applyFont="1" applyFill="1" applyBorder="1"/>
    <xf numFmtId="4" fontId="0" fillId="0" borderId="0" xfId="0" applyNumberFormat="1"/>
    <xf numFmtId="4" fontId="0" fillId="8" borderId="0" xfId="0" applyNumberFormat="1" applyFill="1"/>
    <xf numFmtId="4" fontId="42" fillId="8" borderId="0" xfId="0" applyNumberFormat="1" applyFont="1" applyFill="1"/>
    <xf numFmtId="4" fontId="45" fillId="8" borderId="0" xfId="0" applyNumberFormat="1" applyFont="1" applyFill="1"/>
    <xf numFmtId="164" fontId="42" fillId="0" borderId="0" xfId="0" applyNumberFormat="1" applyFont="1"/>
    <xf numFmtId="0" fontId="4" fillId="4" borderId="0" xfId="0" applyFont="1" applyFill="1" applyAlignment="1">
      <alignment horizontal="center" vertical="top" wrapText="1"/>
    </xf>
    <xf numFmtId="0" fontId="4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top" wrapText="1"/>
    </xf>
    <xf numFmtId="49" fontId="6" fillId="4" borderId="0" xfId="0" applyNumberFormat="1" applyFont="1" applyFill="1" applyAlignment="1">
      <alignment horizontal="center" vertical="center"/>
    </xf>
    <xf numFmtId="49" fontId="46" fillId="4" borderId="0" xfId="0" applyNumberFormat="1" applyFont="1" applyFill="1" applyAlignment="1">
      <alignment horizontal="center" vertical="center"/>
    </xf>
    <xf numFmtId="10" fontId="41" fillId="4" borderId="0" xfId="0" applyNumberFormat="1" applyFont="1" applyFill="1"/>
    <xf numFmtId="10" fontId="4" fillId="4" borderId="0" xfId="0" applyNumberFormat="1" applyFont="1" applyFill="1"/>
    <xf numFmtId="0" fontId="0" fillId="4" borderId="0" xfId="0" applyFill="1"/>
    <xf numFmtId="164" fontId="0" fillId="0" borderId="0" xfId="0" applyNumberFormat="1"/>
    <xf numFmtId="0" fontId="3" fillId="4" borderId="0" xfId="1" applyFill="1"/>
    <xf numFmtId="0" fontId="2" fillId="0" borderId="0" xfId="2"/>
    <xf numFmtId="0" fontId="5" fillId="0" borderId="0" xfId="2" applyFont="1"/>
    <xf numFmtId="0" fontId="13" fillId="0" borderId="0" xfId="2" applyFont="1"/>
    <xf numFmtId="0" fontId="14" fillId="0" borderId="0" xfId="2" applyFont="1"/>
    <xf numFmtId="0" fontId="22" fillId="0" borderId="5" xfId="2" applyFont="1" applyBorder="1"/>
    <xf numFmtId="3" fontId="23" fillId="0" borderId="6" xfId="2" applyNumberFormat="1" applyFont="1" applyBorder="1" applyAlignment="1">
      <alignment horizontal="center"/>
    </xf>
    <xf numFmtId="3" fontId="24" fillId="0" borderId="12" xfId="2" applyNumberFormat="1" applyFont="1" applyBorder="1" applyAlignment="1">
      <alignment horizontal="center"/>
    </xf>
    <xf numFmtId="3" fontId="25" fillId="0" borderId="18" xfId="2" applyNumberFormat="1" applyFont="1" applyBorder="1" applyAlignment="1">
      <alignment horizontal="center"/>
    </xf>
    <xf numFmtId="0" fontId="22" fillId="0" borderId="8" xfId="2" applyFont="1" applyBorder="1"/>
    <xf numFmtId="164" fontId="10" fillId="0" borderId="1" xfId="2" applyNumberFormat="1" applyFont="1" applyBorder="1"/>
    <xf numFmtId="164" fontId="18" fillId="0" borderId="9" xfId="2" applyNumberFormat="1" applyFont="1" applyBorder="1"/>
    <xf numFmtId="164" fontId="19" fillId="0" borderId="19" xfId="2" applyNumberFormat="1" applyFont="1" applyBorder="1"/>
    <xf numFmtId="164" fontId="18" fillId="0" borderId="1" xfId="2" applyNumberFormat="1" applyFont="1" applyBorder="1"/>
    <xf numFmtId="164" fontId="26" fillId="0" borderId="19" xfId="2" applyNumberFormat="1" applyFont="1" applyBorder="1"/>
    <xf numFmtId="0" fontId="22" fillId="0" borderId="13" xfId="2" applyFont="1" applyBorder="1"/>
    <xf numFmtId="164" fontId="17" fillId="0" borderId="14" xfId="2" applyNumberFormat="1" applyFont="1" applyBorder="1"/>
    <xf numFmtId="164" fontId="20" fillId="0" borderId="25" xfId="2" applyNumberFormat="1" applyFont="1" applyBorder="1"/>
    <xf numFmtId="164" fontId="21" fillId="0" borderId="26" xfId="2" applyNumberFormat="1" applyFont="1" applyBorder="1"/>
    <xf numFmtId="0" fontId="22" fillId="0" borderId="27" xfId="2" applyFont="1" applyBorder="1" applyAlignment="1">
      <alignment horizontal="center"/>
    </xf>
    <xf numFmtId="10" fontId="27" fillId="0" borderId="28" xfId="2" applyNumberFormat="1" applyFont="1" applyBorder="1" applyAlignment="1">
      <alignment horizontal="left"/>
    </xf>
    <xf numFmtId="10" fontId="22" fillId="0" borderId="17" xfId="2" applyNumberFormat="1" applyFont="1" applyBorder="1" applyAlignment="1">
      <alignment horizontal="left"/>
    </xf>
    <xf numFmtId="10" fontId="38" fillId="0" borderId="24" xfId="2" applyNumberFormat="1" applyFont="1" applyBorder="1"/>
    <xf numFmtId="0" fontId="12" fillId="0" borderId="0" xfId="2" applyFont="1" applyAlignment="1">
      <alignment horizontal="center"/>
    </xf>
    <xf numFmtId="0" fontId="22" fillId="3" borderId="5" xfId="2" applyFont="1" applyFill="1" applyBorder="1"/>
    <xf numFmtId="3" fontId="30" fillId="3" borderId="6" xfId="2" applyNumberFormat="1" applyFont="1" applyFill="1" applyBorder="1" applyAlignment="1">
      <alignment horizontal="center"/>
    </xf>
    <xf numFmtId="3" fontId="31" fillId="3" borderId="12" xfId="2" applyNumberFormat="1" applyFont="1" applyFill="1" applyBorder="1" applyAlignment="1">
      <alignment horizontal="center"/>
    </xf>
    <xf numFmtId="3" fontId="32" fillId="0" borderId="0" xfId="2" applyNumberFormat="1" applyFont="1" applyAlignment="1">
      <alignment horizontal="center"/>
    </xf>
    <xf numFmtId="0" fontId="22" fillId="3" borderId="8" xfId="2" applyFont="1" applyFill="1" applyBorder="1"/>
    <xf numFmtId="164" fontId="33" fillId="3" borderId="1" xfId="2" applyNumberFormat="1" applyFont="1" applyFill="1" applyBorder="1"/>
    <xf numFmtId="164" fontId="34" fillId="3" borderId="9" xfId="2" applyNumberFormat="1" applyFont="1" applyFill="1" applyBorder="1"/>
    <xf numFmtId="4" fontId="35" fillId="0" borderId="0" xfId="2" applyNumberFormat="1" applyFont="1"/>
    <xf numFmtId="164" fontId="34" fillId="3" borderId="1" xfId="2" applyNumberFormat="1" applyFont="1" applyFill="1" applyBorder="1"/>
    <xf numFmtId="164" fontId="36" fillId="3" borderId="1" xfId="2" applyNumberFormat="1" applyFont="1" applyFill="1" applyBorder="1"/>
    <xf numFmtId="164" fontId="37" fillId="3" borderId="9" xfId="2" applyNumberFormat="1" applyFont="1" applyFill="1" applyBorder="1"/>
    <xf numFmtId="4" fontId="29" fillId="0" borderId="0" xfId="2" applyNumberFormat="1" applyFont="1"/>
    <xf numFmtId="0" fontId="22" fillId="3" borderId="15" xfId="2" applyFont="1" applyFill="1" applyBorder="1" applyAlignment="1">
      <alignment horizontal="center"/>
    </xf>
    <xf numFmtId="10" fontId="10" fillId="3" borderId="16" xfId="2" applyNumberFormat="1" applyFont="1" applyFill="1" applyBorder="1" applyAlignment="1">
      <alignment horizontal="left"/>
    </xf>
    <xf numFmtId="10" fontId="18" fillId="3" borderId="10" xfId="2" applyNumberFormat="1" applyFont="1" applyFill="1" applyBorder="1" applyAlignment="1">
      <alignment horizontal="left"/>
    </xf>
    <xf numFmtId="0" fontId="28" fillId="0" borderId="0" xfId="2" applyFont="1" applyAlignment="1">
      <alignment horizontal="left"/>
    </xf>
    <xf numFmtId="0" fontId="22" fillId="6" borderId="5" xfId="2" applyFont="1" applyFill="1" applyBorder="1"/>
    <xf numFmtId="3" fontId="30" fillId="6" borderId="6" xfId="2" applyNumberFormat="1" applyFont="1" applyFill="1" applyBorder="1" applyAlignment="1">
      <alignment horizontal="center"/>
    </xf>
    <xf numFmtId="3" fontId="31" fillId="6" borderId="12" xfId="2" applyNumberFormat="1" applyFont="1" applyFill="1" applyBorder="1" applyAlignment="1">
      <alignment horizontal="center"/>
    </xf>
    <xf numFmtId="0" fontId="22" fillId="6" borderId="8" xfId="2" applyFont="1" applyFill="1" applyBorder="1"/>
    <xf numFmtId="164" fontId="33" fillId="6" borderId="1" xfId="2" applyNumberFormat="1" applyFont="1" applyFill="1" applyBorder="1"/>
    <xf numFmtId="164" fontId="34" fillId="6" borderId="9" xfId="2" applyNumberFormat="1" applyFont="1" applyFill="1" applyBorder="1"/>
    <xf numFmtId="164" fontId="34" fillId="6" borderId="1" xfId="2" applyNumberFormat="1" applyFont="1" applyFill="1" applyBorder="1"/>
    <xf numFmtId="164" fontId="36" fillId="6" borderId="1" xfId="2" applyNumberFormat="1" applyFont="1" applyFill="1" applyBorder="1"/>
    <xf numFmtId="164" fontId="37" fillId="6" borderId="9" xfId="2" applyNumberFormat="1" applyFont="1" applyFill="1" applyBorder="1"/>
    <xf numFmtId="0" fontId="22" fillId="6" borderId="15" xfId="2" applyFont="1" applyFill="1" applyBorder="1" applyAlignment="1">
      <alignment horizontal="center"/>
    </xf>
    <xf numFmtId="10" fontId="10" fillId="6" borderId="16" xfId="2" applyNumberFormat="1" applyFont="1" applyFill="1" applyBorder="1" applyAlignment="1">
      <alignment horizontal="left"/>
    </xf>
    <xf numFmtId="10" fontId="18" fillId="6" borderId="10" xfId="2" applyNumberFormat="1" applyFont="1" applyFill="1" applyBorder="1" applyAlignment="1">
      <alignment horizontal="left"/>
    </xf>
    <xf numFmtId="49" fontId="41" fillId="0" borderId="8" xfId="0" applyNumberFormat="1" applyFont="1" applyBorder="1"/>
    <xf numFmtId="49" fontId="4" fillId="2" borderId="27" xfId="0" applyNumberFormat="1" applyFont="1" applyFill="1" applyBorder="1"/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6" fillId="7" borderId="0" xfId="0" applyNumberFormat="1" applyFont="1" applyFill="1" applyAlignment="1">
      <alignment horizontal="center" vertical="center" wrapText="1"/>
    </xf>
    <xf numFmtId="49" fontId="49" fillId="7" borderId="0" xfId="0" applyNumberFormat="1" applyFont="1" applyFill="1" applyAlignment="1">
      <alignment horizontal="center" vertical="center"/>
    </xf>
    <xf numFmtId="4" fontId="45" fillId="0" borderId="0" xfId="0" applyNumberFormat="1" applyFont="1"/>
    <xf numFmtId="4" fontId="42" fillId="0" borderId="33" xfId="0" applyNumberFormat="1" applyFont="1" applyBorder="1"/>
    <xf numFmtId="4" fontId="50" fillId="0" borderId="11" xfId="0" applyNumberFormat="1" applyFont="1" applyBorder="1"/>
    <xf numFmtId="4" fontId="50" fillId="0" borderId="35" xfId="0" applyNumberFormat="1" applyFont="1" applyBorder="1"/>
    <xf numFmtId="14" fontId="49" fillId="7" borderId="0" xfId="0" applyNumberFormat="1" applyFont="1" applyFill="1" applyAlignment="1">
      <alignment horizontal="center" vertical="center"/>
    </xf>
    <xf numFmtId="0" fontId="44" fillId="0" borderId="0" xfId="0" applyFon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49" fontId="42" fillId="0" borderId="0" xfId="0" applyNumberFormat="1" applyFont="1" applyAlignment="1">
      <alignment horizontal="center" vertical="center"/>
    </xf>
    <xf numFmtId="49" fontId="41" fillId="0" borderId="36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6" fillId="7" borderId="23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14" fontId="49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2" fillId="0" borderId="32" xfId="0" applyNumberFormat="1" applyFont="1" applyBorder="1" applyAlignment="1">
      <alignment horizontal="center" vertical="center"/>
    </xf>
    <xf numFmtId="14" fontId="41" fillId="0" borderId="8" xfId="0" applyNumberFormat="1" applyFont="1" applyBorder="1" applyAlignment="1">
      <alignment horizontal="center" vertical="center"/>
    </xf>
    <xf numFmtId="14" fontId="41" fillId="0" borderId="13" xfId="0" applyNumberFormat="1" applyFont="1" applyBorder="1" applyAlignment="1">
      <alignment horizontal="center" vertical="center"/>
    </xf>
    <xf numFmtId="14" fontId="6" fillId="7" borderId="27" xfId="0" applyNumberFormat="1" applyFont="1" applyFill="1" applyBorder="1" applyAlignment="1">
      <alignment horizontal="center" vertical="center"/>
    </xf>
    <xf numFmtId="4" fontId="50" fillId="0" borderId="11" xfId="0" applyNumberFormat="1" applyFont="1" applyBorder="1" applyAlignment="1">
      <alignment vertical="center"/>
    </xf>
    <xf numFmtId="4" fontId="50" fillId="0" borderId="35" xfId="0" applyNumberFormat="1" applyFont="1" applyBorder="1" applyAlignment="1">
      <alignment vertical="center"/>
    </xf>
    <xf numFmtId="4" fontId="50" fillId="7" borderId="29" xfId="0" applyNumberFormat="1" applyFont="1" applyFill="1" applyBorder="1" applyAlignment="1">
      <alignment vertical="center"/>
    </xf>
    <xf numFmtId="0" fontId="53" fillId="0" borderId="0" xfId="0" applyFont="1"/>
    <xf numFmtId="0" fontId="15" fillId="3" borderId="3" xfId="2" applyFont="1" applyFill="1" applyBorder="1" applyAlignment="1">
      <alignment horizontal="center" vertical="center"/>
    </xf>
    <xf numFmtId="0" fontId="11" fillId="3" borderId="21" xfId="2" applyFont="1" applyFill="1" applyBorder="1" applyAlignment="1">
      <alignment horizontal="center" vertical="top"/>
    </xf>
    <xf numFmtId="164" fontId="57" fillId="4" borderId="1" xfId="2" applyNumberFormat="1" applyFont="1" applyFill="1" applyBorder="1"/>
    <xf numFmtId="164" fontId="58" fillId="3" borderId="9" xfId="2" applyNumberFormat="1" applyFont="1" applyFill="1" applyBorder="1"/>
    <xf numFmtId="10" fontId="59" fillId="9" borderId="11" xfId="2" applyNumberFormat="1" applyFont="1" applyFill="1" applyBorder="1"/>
    <xf numFmtId="0" fontId="39" fillId="0" borderId="0" xfId="0" applyFont="1"/>
    <xf numFmtId="0" fontId="56" fillId="0" borderId="13" xfId="0" applyFont="1" applyBorder="1"/>
    <xf numFmtId="0" fontId="9" fillId="3" borderId="27" xfId="0" applyFont="1" applyFill="1" applyBorder="1"/>
    <xf numFmtId="164" fontId="9" fillId="3" borderId="28" xfId="2" applyNumberFormat="1" applyFont="1" applyFill="1" applyBorder="1"/>
    <xf numFmtId="164" fontId="60" fillId="3" borderId="17" xfId="2" applyNumberFormat="1" applyFont="1" applyFill="1" applyBorder="1"/>
    <xf numFmtId="10" fontId="61" fillId="3" borderId="29" xfId="2" applyNumberFormat="1" applyFont="1" applyFill="1" applyBorder="1"/>
    <xf numFmtId="164" fontId="62" fillId="4" borderId="1" xfId="2" applyNumberFormat="1" applyFont="1" applyFill="1" applyBorder="1"/>
    <xf numFmtId="164" fontId="59" fillId="3" borderId="9" xfId="2" applyNumberFormat="1" applyFont="1" applyFill="1" applyBorder="1"/>
    <xf numFmtId="164" fontId="59" fillId="3" borderId="28" xfId="2" applyNumberFormat="1" applyFont="1" applyFill="1" applyBorder="1"/>
    <xf numFmtId="164" fontId="61" fillId="3" borderId="17" xfId="2" applyNumberFormat="1" applyFont="1" applyFill="1" applyBorder="1"/>
    <xf numFmtId="164" fontId="63" fillId="4" borderId="1" xfId="2" applyNumberFormat="1" applyFont="1" applyFill="1" applyBorder="1"/>
    <xf numFmtId="164" fontId="9" fillId="3" borderId="9" xfId="2" applyNumberFormat="1" applyFont="1" applyFill="1" applyBorder="1"/>
    <xf numFmtId="10" fontId="9" fillId="9" borderId="11" xfId="2" applyNumberFormat="1" applyFont="1" applyFill="1" applyBorder="1"/>
    <xf numFmtId="10" fontId="60" fillId="3" borderId="29" xfId="2" applyNumberFormat="1" applyFont="1" applyFill="1" applyBorder="1"/>
    <xf numFmtId="0" fontId="52" fillId="0" borderId="38" xfId="0" applyFont="1" applyBorder="1" applyAlignment="1">
      <alignment vertical="center"/>
    </xf>
    <xf numFmtId="4" fontId="42" fillId="0" borderId="0" xfId="0" applyNumberFormat="1" applyFont="1"/>
    <xf numFmtId="4" fontId="4" fillId="0" borderId="0" xfId="0" applyNumberFormat="1" applyFont="1"/>
    <xf numFmtId="49" fontId="6" fillId="3" borderId="22" xfId="0" applyNumberFormat="1" applyFont="1" applyFill="1" applyBorder="1" applyAlignment="1">
      <alignment horizontal="center" vertical="center"/>
    </xf>
    <xf numFmtId="49" fontId="6" fillId="3" borderId="23" xfId="0" applyNumberFormat="1" applyFont="1" applyFill="1" applyBorder="1" applyAlignment="1">
      <alignment horizontal="center" vertical="center"/>
    </xf>
    <xf numFmtId="49" fontId="6" fillId="3" borderId="24" xfId="0" applyNumberFormat="1" applyFont="1" applyFill="1" applyBorder="1" applyAlignment="1">
      <alignment horizontal="center" vertical="center"/>
    </xf>
    <xf numFmtId="4" fontId="54" fillId="3" borderId="2" xfId="0" applyNumberFormat="1" applyFont="1" applyFill="1" applyBorder="1" applyAlignment="1">
      <alignment horizontal="center" vertical="center"/>
    </xf>
    <xf numFmtId="4" fontId="54" fillId="3" borderId="20" xfId="0" applyNumberFormat="1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0" fontId="55" fillId="3" borderId="4" xfId="2" applyFont="1" applyFill="1" applyBorder="1" applyAlignment="1">
      <alignment horizontal="center" vertical="top"/>
    </xf>
    <xf numFmtId="0" fontId="55" fillId="3" borderId="7" xfId="2" applyFont="1" applyFill="1" applyBorder="1" applyAlignment="1">
      <alignment horizontal="center" vertical="top"/>
    </xf>
    <xf numFmtId="0" fontId="8" fillId="4" borderId="0" xfId="1" applyFont="1" applyFill="1" applyAlignment="1">
      <alignment horizontal="right" vertical="center"/>
    </xf>
    <xf numFmtId="0" fontId="51" fillId="4" borderId="0" xfId="1" applyFont="1" applyFill="1" applyAlignment="1">
      <alignment horizontal="center" vertical="center" wrapText="1"/>
    </xf>
    <xf numFmtId="0" fontId="51" fillId="4" borderId="0" xfId="1" applyFont="1" applyFill="1" applyAlignment="1">
      <alignment horizontal="center" vertical="center"/>
    </xf>
    <xf numFmtId="49" fontId="39" fillId="3" borderId="22" xfId="2" applyNumberFormat="1" applyFont="1" applyFill="1" applyBorder="1" applyAlignment="1">
      <alignment horizontal="center" vertical="top"/>
    </xf>
    <xf numFmtId="49" fontId="39" fillId="3" borderId="23" xfId="2" applyNumberFormat="1" applyFont="1" applyFill="1" applyBorder="1" applyAlignment="1">
      <alignment horizontal="center" vertical="top"/>
    </xf>
    <xf numFmtId="49" fontId="39" fillId="3" borderId="24" xfId="2" applyNumberFormat="1" applyFont="1" applyFill="1" applyBorder="1" applyAlignment="1">
      <alignment horizontal="center" vertical="top"/>
    </xf>
    <xf numFmtId="49" fontId="9" fillId="2" borderId="22" xfId="2" applyNumberFormat="1" applyFont="1" applyFill="1" applyBorder="1" applyAlignment="1">
      <alignment horizontal="center" vertical="top"/>
    </xf>
    <xf numFmtId="49" fontId="9" fillId="2" borderId="23" xfId="2" applyNumberFormat="1" applyFont="1" applyFill="1" applyBorder="1" applyAlignment="1">
      <alignment horizontal="center" vertical="top"/>
    </xf>
    <xf numFmtId="49" fontId="9" fillId="2" borderId="24" xfId="2" applyNumberFormat="1" applyFont="1" applyFill="1" applyBorder="1" applyAlignment="1">
      <alignment horizontal="center" vertical="top"/>
    </xf>
    <xf numFmtId="0" fontId="9" fillId="6" borderId="22" xfId="2" applyFont="1" applyFill="1" applyBorder="1" applyAlignment="1">
      <alignment horizontal="center" vertical="top"/>
    </xf>
    <xf numFmtId="0" fontId="9" fillId="6" borderId="23" xfId="2" applyFont="1" applyFill="1" applyBorder="1" applyAlignment="1">
      <alignment horizontal="center" vertical="top"/>
    </xf>
    <xf numFmtId="0" fontId="9" fillId="6" borderId="24" xfId="2" applyFont="1" applyFill="1" applyBorder="1" applyAlignment="1">
      <alignment horizontal="center" vertical="top"/>
    </xf>
    <xf numFmtId="4" fontId="6" fillId="5" borderId="22" xfId="2" applyNumberFormat="1" applyFont="1" applyFill="1" applyBorder="1" applyAlignment="1">
      <alignment horizontal="center" vertical="top"/>
    </xf>
    <xf numFmtId="4" fontId="6" fillId="5" borderId="23" xfId="2" applyNumberFormat="1" applyFont="1" applyFill="1" applyBorder="1" applyAlignment="1">
      <alignment horizontal="center" vertical="top"/>
    </xf>
    <xf numFmtId="4" fontId="6" fillId="5" borderId="24" xfId="2" applyNumberFormat="1" applyFont="1" applyFill="1" applyBorder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49" fontId="39" fillId="3" borderId="22" xfId="1" applyNumberFormat="1" applyFont="1" applyFill="1" applyBorder="1" applyAlignment="1">
      <alignment horizontal="center" vertical="top"/>
    </xf>
    <xf numFmtId="49" fontId="39" fillId="3" borderId="23" xfId="1" applyNumberFormat="1" applyFont="1" applyFill="1" applyBorder="1" applyAlignment="1">
      <alignment horizontal="center" vertical="top"/>
    </xf>
    <xf numFmtId="49" fontId="39" fillId="3" borderId="24" xfId="1" applyNumberFormat="1" applyFont="1" applyFill="1" applyBorder="1" applyAlignment="1">
      <alignment horizontal="center" vertical="top"/>
    </xf>
    <xf numFmtId="49" fontId="47" fillId="0" borderId="0" xfId="1" applyNumberFormat="1" applyFont="1" applyAlignment="1">
      <alignment horizontal="center" vertical="center"/>
    </xf>
    <xf numFmtId="4" fontId="12" fillId="2" borderId="2" xfId="1" applyNumberFormat="1" applyFont="1" applyFill="1" applyBorder="1" applyAlignment="1">
      <alignment horizontal="center" vertical="top"/>
    </xf>
    <xf numFmtId="4" fontId="12" fillId="2" borderId="20" xfId="1" applyNumberFormat="1" applyFont="1" applyFill="1" applyBorder="1" applyAlignment="1">
      <alignment horizontal="center" vertical="top"/>
    </xf>
    <xf numFmtId="0" fontId="11" fillId="2" borderId="4" xfId="1" applyFont="1" applyFill="1" applyBorder="1" applyAlignment="1">
      <alignment horizontal="center" vertical="top" wrapText="1"/>
    </xf>
    <xf numFmtId="0" fontId="11" fillId="2" borderId="7" xfId="1" applyFont="1" applyFill="1" applyBorder="1" applyAlignment="1">
      <alignment horizontal="center" vertical="top" wrapText="1"/>
    </xf>
    <xf numFmtId="0" fontId="11" fillId="2" borderId="4" xfId="1" applyFont="1" applyFill="1" applyBorder="1" applyAlignment="1">
      <alignment horizontal="center" vertical="top"/>
    </xf>
    <xf numFmtId="0" fontId="11" fillId="2" borderId="7" xfId="1" applyFont="1" applyFill="1" applyBorder="1" applyAlignment="1">
      <alignment horizontal="center" vertical="top"/>
    </xf>
    <xf numFmtId="4" fontId="6" fillId="5" borderId="22" xfId="1" applyNumberFormat="1" applyFont="1" applyFill="1" applyBorder="1" applyAlignment="1">
      <alignment horizontal="center" vertical="top"/>
    </xf>
    <xf numFmtId="4" fontId="6" fillId="5" borderId="23" xfId="1" applyNumberFormat="1" applyFont="1" applyFill="1" applyBorder="1" applyAlignment="1">
      <alignment horizontal="center" vertical="top"/>
    </xf>
    <xf numFmtId="4" fontId="6" fillId="5" borderId="24" xfId="1" applyNumberFormat="1" applyFont="1" applyFill="1" applyBorder="1" applyAlignment="1">
      <alignment horizontal="center" vertical="top"/>
    </xf>
    <xf numFmtId="49" fontId="47" fillId="0" borderId="0" xfId="2" applyNumberFormat="1" applyFont="1" applyAlignment="1">
      <alignment horizontal="center" vertical="center"/>
    </xf>
    <xf numFmtId="0" fontId="9" fillId="2" borderId="22" xfId="1" applyFont="1" applyFill="1" applyBorder="1" applyAlignment="1">
      <alignment horizontal="center" vertical="top"/>
    </xf>
    <xf numFmtId="0" fontId="9" fillId="2" borderId="23" xfId="1" applyFont="1" applyFill="1" applyBorder="1" applyAlignment="1">
      <alignment horizontal="center" vertical="top"/>
    </xf>
    <xf numFmtId="0" fontId="9" fillId="2" borderId="24" xfId="1" applyFont="1" applyFill="1" applyBorder="1" applyAlignment="1">
      <alignment horizontal="center" vertical="top"/>
    </xf>
    <xf numFmtId="49" fontId="46" fillId="5" borderId="22" xfId="0" applyNumberFormat="1" applyFont="1" applyFill="1" applyBorder="1" applyAlignment="1">
      <alignment horizontal="center" vertical="center"/>
    </xf>
    <xf numFmtId="49" fontId="46" fillId="5" borderId="23" xfId="0" applyNumberFormat="1" applyFont="1" applyFill="1" applyBorder="1" applyAlignment="1">
      <alignment horizontal="center" vertical="center"/>
    </xf>
    <xf numFmtId="49" fontId="46" fillId="5" borderId="24" xfId="0" applyNumberFormat="1" applyFont="1" applyFill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" fontId="11" fillId="0" borderId="31" xfId="0" applyNumberFormat="1" applyFont="1" applyBorder="1" applyAlignment="1">
      <alignment horizontal="center" vertical="center" wrapText="1"/>
    </xf>
    <xf numFmtId="4" fontId="11" fillId="0" borderId="34" xfId="0" applyNumberFormat="1" applyFont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 wrapText="1"/>
    </xf>
    <xf numFmtId="49" fontId="11" fillId="0" borderId="34" xfId="0" applyNumberFormat="1" applyFont="1" applyBorder="1" applyAlignment="1">
      <alignment horizontal="center" vertical="center"/>
    </xf>
  </cellXfs>
  <cellStyles count="5">
    <cellStyle name="Обычный" xfId="0" builtinId="0"/>
    <cellStyle name="Обычный 2" xfId="1" xr:uid="{00000000-0005-0000-0000-000001000000}"/>
    <cellStyle name="Обычный 2 2" xfId="2" xr:uid="{A5DC2CCD-B836-441C-A50B-C42BA955163F}"/>
    <cellStyle name="Обычный 2 2 2" xfId="4" xr:uid="{C705E420-42AC-4A14-8F85-81EE51F33BCE}"/>
    <cellStyle name="Обычный 2 3" xfId="3" xr:uid="{4899E426-2AB1-497A-91CC-6D62784C103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5AFD7"/>
      <color rgb="FFECC6D8"/>
      <color rgb="FFFF4F4F"/>
      <color rgb="FF9900CC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4F4F"/>
  </sheetPr>
  <dimension ref="A1:E205"/>
  <sheetViews>
    <sheetView tabSelected="1" view="pageBreakPreview" zoomScale="85" zoomScaleNormal="100" zoomScaleSheetLayoutView="85" workbookViewId="0">
      <pane ySplit="2" topLeftCell="A3" activePane="bottomLeft" state="frozen"/>
      <selection sqref="A1:E1"/>
      <selection pane="bottomLeft" activeCell="H168" sqref="H168"/>
    </sheetView>
  </sheetViews>
  <sheetFormatPr defaultColWidth="9.109375" defaultRowHeight="14.4" outlineLevelRow="2" x14ac:dyDescent="0.3"/>
  <cols>
    <col min="1" max="1" width="37.77734375" style="1" customWidth="1"/>
    <col min="2" max="5" width="34" style="1" customWidth="1"/>
    <col min="6" max="16384" width="9.109375" style="1"/>
  </cols>
  <sheetData>
    <row r="1" spans="1:5" ht="51" customHeight="1" x14ac:dyDescent="0.3">
      <c r="A1" s="200" t="s">
        <v>83</v>
      </c>
      <c r="B1" s="200"/>
      <c r="C1" s="200"/>
      <c r="D1" s="200"/>
      <c r="E1" s="200"/>
    </row>
    <row r="2" spans="1:5" s="74" customFormat="1" ht="18" x14ac:dyDescent="0.3">
      <c r="A2" s="185" t="s">
        <v>100</v>
      </c>
      <c r="B2" s="185"/>
      <c r="C2" s="185"/>
      <c r="D2" s="185"/>
      <c r="E2" s="185"/>
    </row>
    <row r="3" spans="1:5" s="58" customFormat="1" ht="31.2" collapsed="1" x14ac:dyDescent="0.6">
      <c r="A3" s="204" t="s">
        <v>23</v>
      </c>
      <c r="B3" s="204"/>
      <c r="C3" s="204"/>
      <c r="D3" s="204"/>
      <c r="E3" s="204"/>
    </row>
    <row r="4" spans="1:5" ht="12" customHeight="1" thickBot="1" x14ac:dyDescent="0.35">
      <c r="A4" s="2"/>
      <c r="C4" s="3"/>
      <c r="D4" s="4"/>
      <c r="E4" s="3"/>
    </row>
    <row r="5" spans="1:5" ht="18" customHeight="1" x14ac:dyDescent="0.3">
      <c r="A5" s="205" t="s">
        <v>3</v>
      </c>
      <c r="B5" s="38" t="s">
        <v>71</v>
      </c>
      <c r="C5" s="39" t="s">
        <v>72</v>
      </c>
      <c r="D5" s="209" t="s">
        <v>4</v>
      </c>
      <c r="E5" s="207" t="s">
        <v>9</v>
      </c>
    </row>
    <row r="6" spans="1:5" ht="18.75" customHeight="1" thickBot="1" x14ac:dyDescent="0.35">
      <c r="A6" s="206"/>
      <c r="B6" s="40" t="s">
        <v>73</v>
      </c>
      <c r="C6" s="40" t="s">
        <v>74</v>
      </c>
      <c r="D6" s="210"/>
      <c r="E6" s="208"/>
    </row>
    <row r="7" spans="1:5" customFormat="1" ht="31.8" customHeight="1" thickBot="1" x14ac:dyDescent="0.35">
      <c r="A7" s="176" t="s">
        <v>2</v>
      </c>
      <c r="B7" s="177"/>
      <c r="C7" s="177"/>
      <c r="D7" s="177"/>
      <c r="E7" s="178"/>
    </row>
    <row r="8" spans="1:5" ht="21.6" hidden="1" customHeight="1" outlineLevel="1" thickBot="1" x14ac:dyDescent="0.35">
      <c r="A8" s="211" t="s">
        <v>24</v>
      </c>
      <c r="B8" s="212"/>
      <c r="C8" s="212"/>
      <c r="D8" s="212"/>
      <c r="E8" s="213"/>
    </row>
    <row r="9" spans="1:5" s="15" customFormat="1" ht="18" hidden="1" customHeight="1" outlineLevel="1" collapsed="1" thickBot="1" x14ac:dyDescent="0.35">
      <c r="A9" s="201" t="s">
        <v>22</v>
      </c>
      <c r="B9" s="202"/>
      <c r="C9" s="202"/>
      <c r="D9" s="202"/>
      <c r="E9" s="203"/>
    </row>
    <row r="10" spans="1:5" ht="18" hidden="1" customHeight="1" outlineLevel="1" x14ac:dyDescent="0.3">
      <c r="A10" s="6" t="s">
        <v>78</v>
      </c>
      <c r="B10" s="7">
        <f>ЗНАМЕНКА!B8</f>
        <v>0</v>
      </c>
      <c r="C10" s="7">
        <f>ОЛЕКСАНДРІЯ!B8</f>
        <v>0</v>
      </c>
      <c r="D10" s="8">
        <f>SUM(B10:C10)</f>
        <v>0</v>
      </c>
      <c r="E10" s="14">
        <f>+D10</f>
        <v>0</v>
      </c>
    </row>
    <row r="11" spans="1:5" ht="18" hidden="1" customHeight="1" outlineLevel="1" x14ac:dyDescent="0.3">
      <c r="A11" s="5" t="s">
        <v>5</v>
      </c>
      <c r="B11" s="41">
        <f>ЗНАМЕНКА!D8</f>
        <v>0</v>
      </c>
      <c r="C11" s="41">
        <f>ОЛЕКСАНДРІЯ!D8</f>
        <v>0</v>
      </c>
      <c r="D11" s="42">
        <f>SUM(B11:C11)</f>
        <v>0</v>
      </c>
      <c r="E11" s="43">
        <f>+D11</f>
        <v>0</v>
      </c>
    </row>
    <row r="12" spans="1:5" ht="18" hidden="1" customHeight="1" outlineLevel="1" x14ac:dyDescent="0.3">
      <c r="A12" s="5" t="s">
        <v>6</v>
      </c>
      <c r="B12" s="44">
        <f>ЗНАМЕНКА!E8</f>
        <v>0</v>
      </c>
      <c r="C12" s="44">
        <f>ОЛЕКСАНДРІЯ!E8</f>
        <v>0</v>
      </c>
      <c r="D12" s="42">
        <f>SUM(B12:C12)</f>
        <v>0</v>
      </c>
      <c r="E12" s="45">
        <f>+D12</f>
        <v>0</v>
      </c>
    </row>
    <row r="13" spans="1:5" ht="18" hidden="1" customHeight="1" outlineLevel="1" thickBot="1" x14ac:dyDescent="0.35">
      <c r="A13" s="16" t="s">
        <v>7</v>
      </c>
      <c r="B13" s="50">
        <f>ЗНАМЕНКА!F8</f>
        <v>0</v>
      </c>
      <c r="C13" s="50">
        <f>ОЛЕКСАНДРІЯ!F8</f>
        <v>0</v>
      </c>
      <c r="D13" s="51">
        <f>SUM(B13:C13)</f>
        <v>0</v>
      </c>
      <c r="E13" s="52">
        <f>D13</f>
        <v>0</v>
      </c>
    </row>
    <row r="14" spans="1:5" ht="18" hidden="1" customHeight="1" outlineLevel="1" thickBot="1" x14ac:dyDescent="0.35">
      <c r="A14" s="17" t="s">
        <v>1</v>
      </c>
      <c r="B14" s="18" t="str">
        <f t="shared" ref="B14:E14" si="0">IF(ISERROR(B12/B11),"",B12/B11)</f>
        <v/>
      </c>
      <c r="C14" s="18" t="str">
        <f t="shared" si="0"/>
        <v/>
      </c>
      <c r="D14" s="19" t="str">
        <f t="shared" si="0"/>
        <v/>
      </c>
      <c r="E14" s="30" t="str">
        <f t="shared" si="0"/>
        <v/>
      </c>
    </row>
    <row r="15" spans="1:5" s="15" customFormat="1" ht="18" hidden="1" customHeight="1" outlineLevel="1" thickBot="1" x14ac:dyDescent="0.35">
      <c r="A15" s="201" t="s">
        <v>21</v>
      </c>
      <c r="B15" s="202"/>
      <c r="C15" s="202"/>
      <c r="D15" s="202"/>
      <c r="E15" s="203"/>
    </row>
    <row r="16" spans="1:5" ht="18" hidden="1" customHeight="1" outlineLevel="1" x14ac:dyDescent="0.3">
      <c r="A16" s="6" t="s">
        <v>78</v>
      </c>
      <c r="B16" s="7">
        <f>ЗНАМЕНКА!B9</f>
        <v>0</v>
      </c>
      <c r="C16" s="7">
        <f>ОЛЕКСАНДРІЯ!B9</f>
        <v>0</v>
      </c>
      <c r="D16" s="8">
        <f>SUM(B16:C16)</f>
        <v>0</v>
      </c>
      <c r="E16" s="14">
        <f>E10+D16</f>
        <v>0</v>
      </c>
    </row>
    <row r="17" spans="1:5" ht="18" hidden="1" customHeight="1" outlineLevel="1" x14ac:dyDescent="0.3">
      <c r="A17" s="5" t="s">
        <v>5</v>
      </c>
      <c r="B17" s="41">
        <f>ЗНАМЕНКА!D9</f>
        <v>0</v>
      </c>
      <c r="C17" s="41">
        <f>ОЛЕКСАНДРІЯ!D9</f>
        <v>0</v>
      </c>
      <c r="D17" s="42">
        <f>SUM(B17:C17)</f>
        <v>0</v>
      </c>
      <c r="E17" s="43">
        <f>E11+D17</f>
        <v>0</v>
      </c>
    </row>
    <row r="18" spans="1:5" ht="18" hidden="1" customHeight="1" outlineLevel="1" x14ac:dyDescent="0.3">
      <c r="A18" s="5" t="s">
        <v>6</v>
      </c>
      <c r="B18" s="44">
        <f>ЗНАМЕНКА!E9</f>
        <v>0</v>
      </c>
      <c r="C18" s="44">
        <f>ОЛЕКСАНДРІЯ!E9</f>
        <v>0</v>
      </c>
      <c r="D18" s="42">
        <f>SUM(B18:C18)</f>
        <v>0</v>
      </c>
      <c r="E18" s="45">
        <f>E12+D18</f>
        <v>0</v>
      </c>
    </row>
    <row r="19" spans="1:5" ht="18" hidden="1" customHeight="1" outlineLevel="1" thickBot="1" x14ac:dyDescent="0.35">
      <c r="A19" s="16" t="s">
        <v>7</v>
      </c>
      <c r="B19" s="50">
        <f>ЗНАМЕНКА!F9</f>
        <v>0</v>
      </c>
      <c r="C19" s="50">
        <f>ОЛЕКСАНДРІЯ!F9</f>
        <v>0</v>
      </c>
      <c r="D19" s="51">
        <f>SUM(B19:C19)</f>
        <v>0</v>
      </c>
      <c r="E19" s="52">
        <f>E13+D19</f>
        <v>0</v>
      </c>
    </row>
    <row r="20" spans="1:5" ht="18" hidden="1" customHeight="1" outlineLevel="1" thickBot="1" x14ac:dyDescent="0.35">
      <c r="A20" s="17" t="s">
        <v>1</v>
      </c>
      <c r="B20" s="18" t="str">
        <f t="shared" ref="B20:E20" si="1">IF(ISERROR(B18/B17),"",B18/B17)</f>
        <v/>
      </c>
      <c r="C20" s="18" t="str">
        <f t="shared" si="1"/>
        <v/>
      </c>
      <c r="D20" s="19" t="str">
        <f t="shared" si="1"/>
        <v/>
      </c>
      <c r="E20" s="30" t="str">
        <f t="shared" si="1"/>
        <v/>
      </c>
    </row>
    <row r="21" spans="1:5" s="15" customFormat="1" ht="18" hidden="1" customHeight="1" outlineLevel="1" thickBot="1" x14ac:dyDescent="0.35">
      <c r="A21" s="201" t="s">
        <v>20</v>
      </c>
      <c r="B21" s="202"/>
      <c r="C21" s="202"/>
      <c r="D21" s="202"/>
      <c r="E21" s="203"/>
    </row>
    <row r="22" spans="1:5" ht="18" hidden="1" customHeight="1" outlineLevel="1" x14ac:dyDescent="0.3">
      <c r="A22" s="6" t="s">
        <v>78</v>
      </c>
      <c r="B22" s="7">
        <f>ЗНАМЕНКА!B10</f>
        <v>0</v>
      </c>
      <c r="C22" s="7">
        <f>ОЛЕКСАНДРІЯ!B10</f>
        <v>0</v>
      </c>
      <c r="D22" s="8">
        <f>SUM(B22:C22)</f>
        <v>0</v>
      </c>
      <c r="E22" s="14">
        <f>E16+D22</f>
        <v>0</v>
      </c>
    </row>
    <row r="23" spans="1:5" ht="18" hidden="1" customHeight="1" outlineLevel="1" x14ac:dyDescent="0.3">
      <c r="A23" s="5" t="s">
        <v>5</v>
      </c>
      <c r="B23" s="41">
        <f>ЗНАМЕНКА!D10</f>
        <v>0</v>
      </c>
      <c r="C23" s="41">
        <f>ОЛЕКСАНДРІЯ!D10</f>
        <v>0</v>
      </c>
      <c r="D23" s="42">
        <f>SUM(B23:C23)</f>
        <v>0</v>
      </c>
      <c r="E23" s="43">
        <f>E17+D23</f>
        <v>0</v>
      </c>
    </row>
    <row r="24" spans="1:5" ht="18" hidden="1" customHeight="1" outlineLevel="1" x14ac:dyDescent="0.3">
      <c r="A24" s="5" t="s">
        <v>6</v>
      </c>
      <c r="B24" s="44">
        <f>ЗНАМЕНКА!E10</f>
        <v>0</v>
      </c>
      <c r="C24" s="44">
        <f>ОЛЕКСАНДРІЯ!E10</f>
        <v>0</v>
      </c>
      <c r="D24" s="42">
        <f>SUM(B24:C24)</f>
        <v>0</v>
      </c>
      <c r="E24" s="45">
        <f>E18+D24</f>
        <v>0</v>
      </c>
    </row>
    <row r="25" spans="1:5" ht="18" hidden="1" customHeight="1" outlineLevel="1" thickBot="1" x14ac:dyDescent="0.35">
      <c r="A25" s="16" t="s">
        <v>7</v>
      </c>
      <c r="B25" s="50">
        <f>ЗНАМЕНКА!F10</f>
        <v>0</v>
      </c>
      <c r="C25" s="50">
        <f>ОЛЕКСАНДРІЯ!F10</f>
        <v>0</v>
      </c>
      <c r="D25" s="51">
        <f>SUM(B25:C25)</f>
        <v>0</v>
      </c>
      <c r="E25" s="52">
        <f>E19+D25</f>
        <v>0</v>
      </c>
    </row>
    <row r="26" spans="1:5" ht="18" hidden="1" customHeight="1" outlineLevel="1" thickBot="1" x14ac:dyDescent="0.35">
      <c r="A26" s="17" t="s">
        <v>1</v>
      </c>
      <c r="B26" s="18" t="str">
        <f t="shared" ref="B26:E26" si="2">IF(ISERROR(B24/B23),"",B24/B23)</f>
        <v/>
      </c>
      <c r="C26" s="18" t="str">
        <f t="shared" si="2"/>
        <v/>
      </c>
      <c r="D26" s="19" t="str">
        <f t="shared" si="2"/>
        <v/>
      </c>
      <c r="E26" s="30" t="str">
        <f t="shared" si="2"/>
        <v/>
      </c>
    </row>
    <row r="27" spans="1:5" s="15" customFormat="1" ht="18" hidden="1" customHeight="1" outlineLevel="1" thickBot="1" x14ac:dyDescent="0.35">
      <c r="A27" s="201" t="s">
        <v>19</v>
      </c>
      <c r="B27" s="202"/>
      <c r="C27" s="202"/>
      <c r="D27" s="202"/>
      <c r="E27" s="203"/>
    </row>
    <row r="28" spans="1:5" ht="18" hidden="1" customHeight="1" outlineLevel="1" x14ac:dyDescent="0.3">
      <c r="A28" s="6" t="s">
        <v>78</v>
      </c>
      <c r="B28" s="7">
        <f>ЗНАМЕНКА!B11</f>
        <v>0</v>
      </c>
      <c r="C28" s="7">
        <f>ОЛЕКСАНДРІЯ!B11</f>
        <v>0</v>
      </c>
      <c r="D28" s="8">
        <f>SUM(B28:C28)</f>
        <v>0</v>
      </c>
      <c r="E28" s="14">
        <f>E22+D28</f>
        <v>0</v>
      </c>
    </row>
    <row r="29" spans="1:5" ht="18" hidden="1" customHeight="1" outlineLevel="1" x14ac:dyDescent="0.3">
      <c r="A29" s="5" t="s">
        <v>5</v>
      </c>
      <c r="B29" s="41">
        <f>ЗНАМЕНКА!D11</f>
        <v>0</v>
      </c>
      <c r="C29" s="41">
        <f>ОЛЕКСАНДРІЯ!D11</f>
        <v>0</v>
      </c>
      <c r="D29" s="42">
        <f>SUM(B29:C29)</f>
        <v>0</v>
      </c>
      <c r="E29" s="43">
        <f>E23+D29</f>
        <v>0</v>
      </c>
    </row>
    <row r="30" spans="1:5" ht="18" hidden="1" customHeight="1" outlineLevel="1" x14ac:dyDescent="0.3">
      <c r="A30" s="5" t="s">
        <v>6</v>
      </c>
      <c r="B30" s="44">
        <f>ЗНАМЕНКА!E11</f>
        <v>0</v>
      </c>
      <c r="C30" s="44">
        <f>ОЛЕКСАНДРІЯ!E11</f>
        <v>0</v>
      </c>
      <c r="D30" s="42">
        <f>SUM(B30:C30)</f>
        <v>0</v>
      </c>
      <c r="E30" s="45">
        <f>E24+D30</f>
        <v>0</v>
      </c>
    </row>
    <row r="31" spans="1:5" ht="18" hidden="1" customHeight="1" outlineLevel="1" thickBot="1" x14ac:dyDescent="0.35">
      <c r="A31" s="16" t="s">
        <v>7</v>
      </c>
      <c r="B31" s="50">
        <f>ЗНАМЕНКА!F11</f>
        <v>0</v>
      </c>
      <c r="C31" s="50">
        <f>ОЛЕКСАНДРІЯ!F11</f>
        <v>0</v>
      </c>
      <c r="D31" s="51">
        <f>SUM(B31:C31)</f>
        <v>0</v>
      </c>
      <c r="E31" s="52">
        <f>E25+D31</f>
        <v>0</v>
      </c>
    </row>
    <row r="32" spans="1:5" ht="18" hidden="1" customHeight="1" outlineLevel="1" thickBot="1" x14ac:dyDescent="0.35">
      <c r="A32" s="17" t="s">
        <v>1</v>
      </c>
      <c r="B32" s="18" t="str">
        <f t="shared" ref="B32:E32" si="3">IF(ISERROR(B30/B29),"",B30/B29)</f>
        <v/>
      </c>
      <c r="C32" s="18" t="str">
        <f t="shared" si="3"/>
        <v/>
      </c>
      <c r="D32" s="19" t="str">
        <f t="shared" si="3"/>
        <v/>
      </c>
      <c r="E32" s="30" t="str">
        <f t="shared" si="3"/>
        <v/>
      </c>
    </row>
    <row r="33" spans="1:5" s="15" customFormat="1" ht="18" hidden="1" customHeight="1" outlineLevel="1" thickBot="1" x14ac:dyDescent="0.35">
      <c r="A33" s="201" t="s">
        <v>18</v>
      </c>
      <c r="B33" s="202"/>
      <c r="C33" s="202"/>
      <c r="D33" s="202"/>
      <c r="E33" s="203"/>
    </row>
    <row r="34" spans="1:5" ht="18" hidden="1" customHeight="1" outlineLevel="1" x14ac:dyDescent="0.3">
      <c r="A34" s="6" t="s">
        <v>78</v>
      </c>
      <c r="B34" s="7">
        <f>ЗНАМЕНКА!B12</f>
        <v>0</v>
      </c>
      <c r="C34" s="7">
        <f>ОЛЕКСАНДРІЯ!B12</f>
        <v>0</v>
      </c>
      <c r="D34" s="8">
        <f>SUM(B34:C34)</f>
        <v>0</v>
      </c>
      <c r="E34" s="14">
        <f>E28+D34</f>
        <v>0</v>
      </c>
    </row>
    <row r="35" spans="1:5" ht="18" hidden="1" customHeight="1" outlineLevel="1" x14ac:dyDescent="0.3">
      <c r="A35" s="5" t="s">
        <v>5</v>
      </c>
      <c r="B35" s="41">
        <f>ЗНАМЕНКА!D12</f>
        <v>0</v>
      </c>
      <c r="C35" s="41">
        <f>ОЛЕКСАНДРІЯ!D12</f>
        <v>0</v>
      </c>
      <c r="D35" s="42">
        <f>SUM(B35:C35)</f>
        <v>0</v>
      </c>
      <c r="E35" s="43">
        <f>E29+D35</f>
        <v>0</v>
      </c>
    </row>
    <row r="36" spans="1:5" ht="18" hidden="1" customHeight="1" outlineLevel="1" x14ac:dyDescent="0.3">
      <c r="A36" s="5" t="s">
        <v>6</v>
      </c>
      <c r="B36" s="44">
        <f>ЗНАМЕНКА!E12</f>
        <v>0</v>
      </c>
      <c r="C36" s="44">
        <f>ОЛЕКСАНДРІЯ!E12</f>
        <v>0</v>
      </c>
      <c r="D36" s="42">
        <f>SUM(B36:C36)</f>
        <v>0</v>
      </c>
      <c r="E36" s="45">
        <f>E30+D36</f>
        <v>0</v>
      </c>
    </row>
    <row r="37" spans="1:5" ht="18" hidden="1" customHeight="1" outlineLevel="1" thickBot="1" x14ac:dyDescent="0.35">
      <c r="A37" s="16" t="s">
        <v>7</v>
      </c>
      <c r="B37" s="50">
        <f>ЗНАМЕНКА!F12</f>
        <v>0</v>
      </c>
      <c r="C37" s="50">
        <f>ОЛЕКСАНДРІЯ!F12</f>
        <v>0</v>
      </c>
      <c r="D37" s="51">
        <f>SUM(B37:C37)</f>
        <v>0</v>
      </c>
      <c r="E37" s="52">
        <f>E31+D37</f>
        <v>0</v>
      </c>
    </row>
    <row r="38" spans="1:5" ht="18" hidden="1" customHeight="1" outlineLevel="1" thickBot="1" x14ac:dyDescent="0.35">
      <c r="A38" s="17" t="s">
        <v>1</v>
      </c>
      <c r="B38" s="18" t="str">
        <f t="shared" ref="B38:E38" si="4">IF(ISERROR(B36/B35),"",B36/B35)</f>
        <v/>
      </c>
      <c r="C38" s="18" t="str">
        <f t="shared" si="4"/>
        <v/>
      </c>
      <c r="D38" s="19" t="str">
        <f t="shared" si="4"/>
        <v/>
      </c>
      <c r="E38" s="30" t="str">
        <f t="shared" si="4"/>
        <v/>
      </c>
    </row>
    <row r="39" spans="1:5" s="15" customFormat="1" ht="18" hidden="1" customHeight="1" outlineLevel="1" thickBot="1" x14ac:dyDescent="0.35">
      <c r="A39" s="201" t="s">
        <v>17</v>
      </c>
      <c r="B39" s="202"/>
      <c r="C39" s="202"/>
      <c r="D39" s="202"/>
      <c r="E39" s="203"/>
    </row>
    <row r="40" spans="1:5" ht="18" hidden="1" customHeight="1" outlineLevel="1" x14ac:dyDescent="0.3">
      <c r="A40" s="6" t="s">
        <v>78</v>
      </c>
      <c r="B40" s="7">
        <f>ЗНАМЕНКА!B13</f>
        <v>0</v>
      </c>
      <c r="C40" s="7">
        <f>ОЛЕКСАНДРІЯ!B13</f>
        <v>0</v>
      </c>
      <c r="D40" s="8">
        <f>SUM(B40:C40)</f>
        <v>0</v>
      </c>
      <c r="E40" s="14">
        <f>E34+D40</f>
        <v>0</v>
      </c>
    </row>
    <row r="41" spans="1:5" ht="18" hidden="1" customHeight="1" outlineLevel="1" x14ac:dyDescent="0.3">
      <c r="A41" s="5" t="s">
        <v>5</v>
      </c>
      <c r="B41" s="41">
        <f>ЗНАМЕНКА!D13</f>
        <v>0</v>
      </c>
      <c r="C41" s="41">
        <f>ОЛЕКСАНДРІЯ!D13</f>
        <v>0</v>
      </c>
      <c r="D41" s="42">
        <f>SUM(B41:C41)</f>
        <v>0</v>
      </c>
      <c r="E41" s="43">
        <f>E35+D41</f>
        <v>0</v>
      </c>
    </row>
    <row r="42" spans="1:5" ht="18" hidden="1" customHeight="1" outlineLevel="1" x14ac:dyDescent="0.3">
      <c r="A42" s="5" t="s">
        <v>6</v>
      </c>
      <c r="B42" s="44">
        <f>ЗНАМЕНКА!E13</f>
        <v>0</v>
      </c>
      <c r="C42" s="44">
        <f>ОЛЕКСАНДРІЯ!E13</f>
        <v>0</v>
      </c>
      <c r="D42" s="42">
        <f>SUM(B42:C42)</f>
        <v>0</v>
      </c>
      <c r="E42" s="45">
        <f>E36+D42</f>
        <v>0</v>
      </c>
    </row>
    <row r="43" spans="1:5" ht="18" hidden="1" customHeight="1" outlineLevel="1" thickBot="1" x14ac:dyDescent="0.35">
      <c r="A43" s="16" t="s">
        <v>7</v>
      </c>
      <c r="B43" s="50">
        <f>ЗНАМЕНКА!F13</f>
        <v>0</v>
      </c>
      <c r="C43" s="50">
        <f>ОЛЕКСАНДРІЯ!F13</f>
        <v>0</v>
      </c>
      <c r="D43" s="51">
        <f>SUM(B43:C43)</f>
        <v>0</v>
      </c>
      <c r="E43" s="52">
        <f>E37+D43</f>
        <v>0</v>
      </c>
    </row>
    <row r="44" spans="1:5" ht="18" hidden="1" customHeight="1" outlineLevel="1" thickBot="1" x14ac:dyDescent="0.35">
      <c r="A44" s="17" t="s">
        <v>1</v>
      </c>
      <c r="B44" s="18" t="str">
        <f t="shared" ref="B44:E44" si="5">IF(ISERROR(B42/B41),"",B42/B41)</f>
        <v/>
      </c>
      <c r="C44" s="18" t="str">
        <f t="shared" si="5"/>
        <v/>
      </c>
      <c r="D44" s="19" t="str">
        <f t="shared" si="5"/>
        <v/>
      </c>
      <c r="E44" s="30" t="str">
        <f t="shared" si="5"/>
        <v/>
      </c>
    </row>
    <row r="45" spans="1:5" s="15" customFormat="1" ht="18" hidden="1" customHeight="1" outlineLevel="1" thickBot="1" x14ac:dyDescent="0.35">
      <c r="A45" s="201" t="s">
        <v>16</v>
      </c>
      <c r="B45" s="202"/>
      <c r="C45" s="202"/>
      <c r="D45" s="202"/>
      <c r="E45" s="203"/>
    </row>
    <row r="46" spans="1:5" ht="18" hidden="1" customHeight="1" outlineLevel="1" x14ac:dyDescent="0.3">
      <c r="A46" s="6" t="s">
        <v>78</v>
      </c>
      <c r="B46" s="7">
        <f>ЗНАМЕНКА!B14</f>
        <v>0</v>
      </c>
      <c r="C46" s="7">
        <f>ОЛЕКСАНДРІЯ!B14</f>
        <v>0</v>
      </c>
      <c r="D46" s="8">
        <f>SUM(B46:C46)</f>
        <v>0</v>
      </c>
      <c r="E46" s="14">
        <f>E40+D46</f>
        <v>0</v>
      </c>
    </row>
    <row r="47" spans="1:5" ht="18" hidden="1" customHeight="1" outlineLevel="1" x14ac:dyDescent="0.3">
      <c r="A47" s="5" t="s">
        <v>5</v>
      </c>
      <c r="B47" s="41">
        <f>ЗНАМЕНКА!D14</f>
        <v>0</v>
      </c>
      <c r="C47" s="41">
        <f>ОЛЕКСАНДРІЯ!D14</f>
        <v>0</v>
      </c>
      <c r="D47" s="42">
        <f>SUM(B47:C47)</f>
        <v>0</v>
      </c>
      <c r="E47" s="43">
        <f>E41+D47</f>
        <v>0</v>
      </c>
    </row>
    <row r="48" spans="1:5" ht="18" hidden="1" customHeight="1" outlineLevel="1" x14ac:dyDescent="0.3">
      <c r="A48" s="5" t="s">
        <v>6</v>
      </c>
      <c r="B48" s="44">
        <f>ЗНАМЕНКА!E14</f>
        <v>0</v>
      </c>
      <c r="C48" s="44">
        <f>ОЛЕКСАНДРІЯ!E14</f>
        <v>0</v>
      </c>
      <c r="D48" s="42">
        <f>SUM(B48:C48)</f>
        <v>0</v>
      </c>
      <c r="E48" s="45">
        <f>E42+D48</f>
        <v>0</v>
      </c>
    </row>
    <row r="49" spans="1:5" ht="18" hidden="1" customHeight="1" outlineLevel="1" thickBot="1" x14ac:dyDescent="0.35">
      <c r="A49" s="16" t="s">
        <v>7</v>
      </c>
      <c r="B49" s="50">
        <f>ЗНАМЕНКА!F14</f>
        <v>0</v>
      </c>
      <c r="C49" s="50">
        <f>ОЛЕКСАНДРІЯ!F14</f>
        <v>0</v>
      </c>
      <c r="D49" s="51">
        <f>SUM(B49:C49)</f>
        <v>0</v>
      </c>
      <c r="E49" s="52">
        <f>E43+D49</f>
        <v>0</v>
      </c>
    </row>
    <row r="50" spans="1:5" ht="18" hidden="1" customHeight="1" outlineLevel="1" thickBot="1" x14ac:dyDescent="0.35">
      <c r="A50" s="17" t="s">
        <v>1</v>
      </c>
      <c r="B50" s="18" t="str">
        <f t="shared" ref="B50:E50" si="6">IF(ISERROR(B48/B47),"",B48/B47)</f>
        <v/>
      </c>
      <c r="C50" s="18" t="str">
        <f t="shared" si="6"/>
        <v/>
      </c>
      <c r="D50" s="19" t="str">
        <f t="shared" si="6"/>
        <v/>
      </c>
      <c r="E50" s="30" t="str">
        <f t="shared" si="6"/>
        <v/>
      </c>
    </row>
    <row r="51" spans="1:5" s="15" customFormat="1" ht="18" hidden="1" customHeight="1" outlineLevel="1" thickBot="1" x14ac:dyDescent="0.35">
      <c r="A51" s="201" t="s">
        <v>15</v>
      </c>
      <c r="B51" s="202"/>
      <c r="C51" s="202"/>
      <c r="D51" s="202"/>
      <c r="E51" s="203"/>
    </row>
    <row r="52" spans="1:5" ht="18" hidden="1" customHeight="1" outlineLevel="1" x14ac:dyDescent="0.3">
      <c r="A52" s="6" t="s">
        <v>78</v>
      </c>
      <c r="B52" s="7">
        <f>ЗНАМЕНКА!B15</f>
        <v>0</v>
      </c>
      <c r="C52" s="7">
        <f>ОЛЕКСАНДРІЯ!B15</f>
        <v>0</v>
      </c>
      <c r="D52" s="8">
        <f>SUM(B52:C52)</f>
        <v>0</v>
      </c>
      <c r="E52" s="14">
        <f>E46+D52</f>
        <v>0</v>
      </c>
    </row>
    <row r="53" spans="1:5" ht="18" hidden="1" customHeight="1" outlineLevel="1" x14ac:dyDescent="0.3">
      <c r="A53" s="5" t="s">
        <v>5</v>
      </c>
      <c r="B53" s="41">
        <f>ЗНАМЕНКА!D15</f>
        <v>0</v>
      </c>
      <c r="C53" s="41">
        <f>ОЛЕКСАНДРІЯ!D15</f>
        <v>0</v>
      </c>
      <c r="D53" s="42">
        <f>SUM(B53:C53)</f>
        <v>0</v>
      </c>
      <c r="E53" s="43">
        <f>E47+D53</f>
        <v>0</v>
      </c>
    </row>
    <row r="54" spans="1:5" ht="18" hidden="1" customHeight="1" outlineLevel="1" x14ac:dyDescent="0.3">
      <c r="A54" s="5" t="s">
        <v>6</v>
      </c>
      <c r="B54" s="44">
        <f>ЗНАМЕНКА!E15</f>
        <v>0</v>
      </c>
      <c r="C54" s="44">
        <f>ОЛЕКСАНДРІЯ!E15</f>
        <v>0</v>
      </c>
      <c r="D54" s="42">
        <f>SUM(B54:C54)</f>
        <v>0</v>
      </c>
      <c r="E54" s="45">
        <f>E48+D54</f>
        <v>0</v>
      </c>
    </row>
    <row r="55" spans="1:5" ht="18" hidden="1" customHeight="1" outlineLevel="1" thickBot="1" x14ac:dyDescent="0.35">
      <c r="A55" s="16" t="s">
        <v>7</v>
      </c>
      <c r="B55" s="50">
        <f>ЗНАМЕНКА!F15</f>
        <v>0</v>
      </c>
      <c r="C55" s="50">
        <f>ОЛЕКСАНДРІЯ!F15</f>
        <v>0</v>
      </c>
      <c r="D55" s="51">
        <f>SUM(B55:C55)</f>
        <v>0</v>
      </c>
      <c r="E55" s="52">
        <f>E49+D55</f>
        <v>0</v>
      </c>
    </row>
    <row r="56" spans="1:5" ht="18" hidden="1" customHeight="1" outlineLevel="1" thickBot="1" x14ac:dyDescent="0.35">
      <c r="A56" s="17" t="s">
        <v>1</v>
      </c>
      <c r="B56" s="18" t="str">
        <f t="shared" ref="B56:E56" si="7">IF(ISERROR(B54/B53),"",B54/B53)</f>
        <v/>
      </c>
      <c r="C56" s="18" t="str">
        <f t="shared" si="7"/>
        <v/>
      </c>
      <c r="D56" s="19" t="str">
        <f t="shared" si="7"/>
        <v/>
      </c>
      <c r="E56" s="30" t="str">
        <f t="shared" si="7"/>
        <v/>
      </c>
    </row>
    <row r="57" spans="1:5" s="15" customFormat="1" ht="18" customHeight="1" collapsed="1" thickBot="1" x14ac:dyDescent="0.35">
      <c r="A57" s="201" t="s">
        <v>14</v>
      </c>
      <c r="B57" s="202"/>
      <c r="C57" s="202"/>
      <c r="D57" s="202"/>
      <c r="E57" s="203"/>
    </row>
    <row r="58" spans="1:5" ht="18" customHeight="1" x14ac:dyDescent="0.3">
      <c r="A58" s="6" t="s">
        <v>78</v>
      </c>
      <c r="B58" s="7">
        <f>ЗНАМЕНКА!B16</f>
        <v>192</v>
      </c>
      <c r="C58" s="7">
        <f>ОЛЕКСАНДРІЯ!B16</f>
        <v>0</v>
      </c>
      <c r="D58" s="8">
        <f>SUM(B58:C58)</f>
        <v>192</v>
      </c>
      <c r="E58" s="14">
        <f>E52+D58</f>
        <v>192</v>
      </c>
    </row>
    <row r="59" spans="1:5" ht="18" customHeight="1" x14ac:dyDescent="0.3">
      <c r="A59" s="5" t="s">
        <v>5</v>
      </c>
      <c r="B59" s="41">
        <f>ЗНАМЕНКА!D16</f>
        <v>69120</v>
      </c>
      <c r="C59" s="41">
        <f>ОЛЕКСАНДРІЯ!D16</f>
        <v>0</v>
      </c>
      <c r="D59" s="42">
        <f>SUM(B59:C59)</f>
        <v>69120</v>
      </c>
      <c r="E59" s="43">
        <f>E53+D59</f>
        <v>69120</v>
      </c>
    </row>
    <row r="60" spans="1:5" ht="18" customHeight="1" x14ac:dyDescent="0.3">
      <c r="A60" s="5" t="s">
        <v>6</v>
      </c>
      <c r="B60" s="44">
        <f>ЗНАМЕНКА!E16</f>
        <v>69120</v>
      </c>
      <c r="C60" s="44">
        <f>ОЛЕКСАНДРІЯ!E16</f>
        <v>0</v>
      </c>
      <c r="D60" s="42">
        <f>SUM(B60:C60)</f>
        <v>69120</v>
      </c>
      <c r="E60" s="45">
        <f>E54+D60</f>
        <v>69120</v>
      </c>
    </row>
    <row r="61" spans="1:5" ht="18" customHeight="1" thickBot="1" x14ac:dyDescent="0.35">
      <c r="A61" s="16" t="s">
        <v>7</v>
      </c>
      <c r="B61" s="50">
        <f>ЗНАМЕНКА!F16</f>
        <v>0</v>
      </c>
      <c r="C61" s="50">
        <f>ОЛЕКСАНДРІЯ!F16</f>
        <v>0</v>
      </c>
      <c r="D61" s="51">
        <f>SUM(B61:C61)</f>
        <v>0</v>
      </c>
      <c r="E61" s="52">
        <f>E55+D61</f>
        <v>0</v>
      </c>
    </row>
    <row r="62" spans="1:5" ht="18" customHeight="1" thickBot="1" x14ac:dyDescent="0.35">
      <c r="A62" s="17" t="s">
        <v>1</v>
      </c>
      <c r="B62" s="18">
        <f t="shared" ref="B62:E62" si="8">IF(ISERROR(B60/B59),"",B60/B59)</f>
        <v>1</v>
      </c>
      <c r="C62" s="18" t="str">
        <f t="shared" si="8"/>
        <v/>
      </c>
      <c r="D62" s="19">
        <f t="shared" si="8"/>
        <v>1</v>
      </c>
      <c r="E62" s="30">
        <f t="shared" si="8"/>
        <v>1</v>
      </c>
    </row>
    <row r="63" spans="1:5" s="15" customFormat="1" ht="18" customHeight="1" thickBot="1" x14ac:dyDescent="0.35">
      <c r="A63" s="201" t="s">
        <v>13</v>
      </c>
      <c r="B63" s="202"/>
      <c r="C63" s="202"/>
      <c r="D63" s="202"/>
      <c r="E63" s="203"/>
    </row>
    <row r="64" spans="1:5" ht="18" customHeight="1" x14ac:dyDescent="0.3">
      <c r="A64" s="6" t="s">
        <v>78</v>
      </c>
      <c r="B64" s="7">
        <f>ЗНАМЕНКА!B17</f>
        <v>5960</v>
      </c>
      <c r="C64" s="7">
        <f>ОЛЕКСАНДРІЯ!B17</f>
        <v>7440</v>
      </c>
      <c r="D64" s="8">
        <f>SUM(B64:C64)</f>
        <v>13400</v>
      </c>
      <c r="E64" s="14">
        <f>E58+D64</f>
        <v>13592</v>
      </c>
    </row>
    <row r="65" spans="1:5" ht="18" customHeight="1" x14ac:dyDescent="0.3">
      <c r="A65" s="5" t="s">
        <v>5</v>
      </c>
      <c r="B65" s="41">
        <f>ЗНАМЕНКА!D17</f>
        <v>5341757.28</v>
      </c>
      <c r="C65" s="41">
        <f>ОЛЕКСАНДРІЯ!D17</f>
        <v>6056755.2000000002</v>
      </c>
      <c r="D65" s="42">
        <f>SUM(B65:C65)</f>
        <v>11398512.48</v>
      </c>
      <c r="E65" s="43">
        <f>E59+D65</f>
        <v>11467632.48</v>
      </c>
    </row>
    <row r="66" spans="1:5" ht="18" customHeight="1" x14ac:dyDescent="0.3">
      <c r="A66" s="5" t="s">
        <v>6</v>
      </c>
      <c r="B66" s="44">
        <f>ЗНАМЕНКА!E17</f>
        <v>5341757.28</v>
      </c>
      <c r="C66" s="44">
        <f>ОЛЕКСАНДРІЯ!E17</f>
        <v>6056755.2000000002</v>
      </c>
      <c r="D66" s="42">
        <f>SUM(B66:C66)</f>
        <v>11398512.48</v>
      </c>
      <c r="E66" s="45">
        <f>E60+D66</f>
        <v>11467632.48</v>
      </c>
    </row>
    <row r="67" spans="1:5" ht="18" customHeight="1" thickBot="1" x14ac:dyDescent="0.35">
      <c r="A67" s="16" t="s">
        <v>7</v>
      </c>
      <c r="B67" s="50">
        <f>ЗНАМЕНКА!F17</f>
        <v>0</v>
      </c>
      <c r="C67" s="50">
        <f>ОЛЕКСАНДРІЯ!F17</f>
        <v>0</v>
      </c>
      <c r="D67" s="51">
        <f>SUM(B67:C67)</f>
        <v>0</v>
      </c>
      <c r="E67" s="52">
        <f>E61+D67</f>
        <v>0</v>
      </c>
    </row>
    <row r="68" spans="1:5" ht="18" customHeight="1" thickBot="1" x14ac:dyDescent="0.35">
      <c r="A68" s="17" t="s">
        <v>1</v>
      </c>
      <c r="B68" s="18">
        <f t="shared" ref="B68:E68" si="9">IF(ISERROR(B66/B65),"",B66/B65)</f>
        <v>1</v>
      </c>
      <c r="C68" s="18">
        <f t="shared" si="9"/>
        <v>1</v>
      </c>
      <c r="D68" s="19">
        <f t="shared" si="9"/>
        <v>1</v>
      </c>
      <c r="E68" s="30">
        <f t="shared" si="9"/>
        <v>1</v>
      </c>
    </row>
    <row r="69" spans="1:5" s="15" customFormat="1" ht="18" customHeight="1" thickBot="1" x14ac:dyDescent="0.35">
      <c r="A69" s="201" t="s">
        <v>12</v>
      </c>
      <c r="B69" s="202"/>
      <c r="C69" s="202"/>
      <c r="D69" s="202"/>
      <c r="E69" s="203"/>
    </row>
    <row r="70" spans="1:5" ht="18" customHeight="1" x14ac:dyDescent="0.3">
      <c r="A70" s="6" t="s">
        <v>78</v>
      </c>
      <c r="B70" s="7">
        <f>ЗНАМЕНКА!B18</f>
        <v>5760</v>
      </c>
      <c r="C70" s="7">
        <f>ОЛЕКСАНДРІЯ!B18</f>
        <v>7200</v>
      </c>
      <c r="D70" s="8">
        <f>SUM(B70:C70)</f>
        <v>12960</v>
      </c>
      <c r="E70" s="14">
        <f>E64+D70</f>
        <v>26552</v>
      </c>
    </row>
    <row r="71" spans="1:5" ht="18" customHeight="1" x14ac:dyDescent="0.3">
      <c r="A71" s="5" t="s">
        <v>5</v>
      </c>
      <c r="B71" s="41">
        <f>ЗНАМЕНКА!D18</f>
        <v>5184276.4800000004</v>
      </c>
      <c r="C71" s="41">
        <f>ОЛЕКСАНДРІЯ!D18</f>
        <v>5886172.7999999998</v>
      </c>
      <c r="D71" s="42">
        <f>SUM(B71:C71)</f>
        <v>11070449.280000001</v>
      </c>
      <c r="E71" s="43">
        <f>E65+D71</f>
        <v>22538081.760000002</v>
      </c>
    </row>
    <row r="72" spans="1:5" ht="18" customHeight="1" x14ac:dyDescent="0.3">
      <c r="A72" s="5" t="s">
        <v>6</v>
      </c>
      <c r="B72" s="44">
        <f>ЗНАМЕНКА!E18</f>
        <v>5184276.4800000004</v>
      </c>
      <c r="C72" s="44">
        <f>ОЛЕКСАНДРІЯ!E18</f>
        <v>5886172.7999999998</v>
      </c>
      <c r="D72" s="42">
        <f>SUM(B72:C72)</f>
        <v>11070449.280000001</v>
      </c>
      <c r="E72" s="45">
        <f>E66+D72</f>
        <v>22538081.760000002</v>
      </c>
    </row>
    <row r="73" spans="1:5" ht="18" customHeight="1" thickBot="1" x14ac:dyDescent="0.35">
      <c r="A73" s="16" t="s">
        <v>7</v>
      </c>
      <c r="B73" s="50">
        <f>ЗНАМЕНКА!F18</f>
        <v>0</v>
      </c>
      <c r="C73" s="50">
        <f>ОЛЕКСАНДРІЯ!F18</f>
        <v>0</v>
      </c>
      <c r="D73" s="51">
        <f>SUM(B73:C73)</f>
        <v>0</v>
      </c>
      <c r="E73" s="52">
        <f>E67+D73</f>
        <v>0</v>
      </c>
    </row>
    <row r="74" spans="1:5" ht="18" customHeight="1" thickBot="1" x14ac:dyDescent="0.35">
      <c r="A74" s="17" t="s">
        <v>1</v>
      </c>
      <c r="B74" s="18">
        <f t="shared" ref="B74:E74" si="10">IF(ISERROR(B72/B71),"",B72/B71)</f>
        <v>1</v>
      </c>
      <c r="C74" s="18">
        <f t="shared" si="10"/>
        <v>1</v>
      </c>
      <c r="D74" s="19">
        <f t="shared" si="10"/>
        <v>1</v>
      </c>
      <c r="E74" s="30">
        <f t="shared" si="10"/>
        <v>1</v>
      </c>
    </row>
    <row r="75" spans="1:5" s="15" customFormat="1" ht="18" customHeight="1" thickBot="1" x14ac:dyDescent="0.35">
      <c r="A75" s="201" t="s">
        <v>11</v>
      </c>
      <c r="B75" s="202"/>
      <c r="C75" s="202"/>
      <c r="D75" s="202"/>
      <c r="E75" s="203"/>
    </row>
    <row r="76" spans="1:5" ht="18" customHeight="1" x14ac:dyDescent="0.3">
      <c r="A76" s="6" t="s">
        <v>78</v>
      </c>
      <c r="B76" s="7">
        <f>ЗНАМЕНКА!B19</f>
        <v>5952</v>
      </c>
      <c r="C76" s="7">
        <f>ОЛЕКСАНДРІЯ!B19</f>
        <v>7440</v>
      </c>
      <c r="D76" s="8">
        <f>SUM(B76:C76)</f>
        <v>13392</v>
      </c>
      <c r="E76" s="14">
        <f>E70+D76</f>
        <v>39944</v>
      </c>
    </row>
    <row r="77" spans="1:5" ht="18" customHeight="1" x14ac:dyDescent="0.3">
      <c r="A77" s="5" t="s">
        <v>5</v>
      </c>
      <c r="B77" s="41">
        <f>ЗНАМЕНКА!D19</f>
        <v>5439794.6900000004</v>
      </c>
      <c r="C77" s="41">
        <f>ОЛЕКСАНДРІЯ!D19</f>
        <v>6176301.1200000001</v>
      </c>
      <c r="D77" s="42">
        <f>SUM(B77:C77)</f>
        <v>11616095.810000001</v>
      </c>
      <c r="E77" s="43">
        <f>E71+D77</f>
        <v>34154177.57</v>
      </c>
    </row>
    <row r="78" spans="1:5" ht="18" customHeight="1" x14ac:dyDescent="0.3">
      <c r="A78" s="5" t="s">
        <v>6</v>
      </c>
      <c r="B78" s="44">
        <f>ЗНАМЕНКА!E19</f>
        <v>5439794.6900000004</v>
      </c>
      <c r="C78" s="44">
        <f>ОЛЕКСАНДРІЯ!E19</f>
        <v>6176301.1200000001</v>
      </c>
      <c r="D78" s="42">
        <f>SUM(B78:C78)</f>
        <v>11616095.810000001</v>
      </c>
      <c r="E78" s="45">
        <f>E72+D78</f>
        <v>34154177.57</v>
      </c>
    </row>
    <row r="79" spans="1:5" ht="18" customHeight="1" thickBot="1" x14ac:dyDescent="0.35">
      <c r="A79" s="16" t="s">
        <v>7</v>
      </c>
      <c r="B79" s="50">
        <f>ЗНАМЕНКА!F19</f>
        <v>0</v>
      </c>
      <c r="C79" s="50">
        <f>ОЛЕКСАНДРІЯ!F19</f>
        <v>0</v>
      </c>
      <c r="D79" s="51">
        <f>SUM(B79:C79)</f>
        <v>0</v>
      </c>
      <c r="E79" s="52">
        <f>E73+D79</f>
        <v>0</v>
      </c>
    </row>
    <row r="80" spans="1:5" ht="18" customHeight="1" thickBot="1" x14ac:dyDescent="0.35">
      <c r="A80" s="17" t="s">
        <v>1</v>
      </c>
      <c r="B80" s="18">
        <f t="shared" ref="B80:E80" si="11">IF(ISERROR(B78/B77),"",B78/B77)</f>
        <v>1</v>
      </c>
      <c r="C80" s="18">
        <f t="shared" si="11"/>
        <v>1</v>
      </c>
      <c r="D80" s="19">
        <f t="shared" si="11"/>
        <v>1</v>
      </c>
      <c r="E80" s="30">
        <f t="shared" si="11"/>
        <v>1</v>
      </c>
    </row>
    <row r="81" spans="1:5" ht="22.5" customHeight="1" thickBot="1" x14ac:dyDescent="0.35">
      <c r="A81" s="215" t="s">
        <v>10</v>
      </c>
      <c r="B81" s="216"/>
      <c r="C81" s="216"/>
      <c r="D81" s="217"/>
      <c r="E81" s="9"/>
    </row>
    <row r="82" spans="1:5" ht="18" customHeight="1" x14ac:dyDescent="0.3">
      <c r="A82" s="31" t="s">
        <v>78</v>
      </c>
      <c r="B82" s="32">
        <f t="shared" ref="B82:C82" si="12">SUM(B10,B16,B22,B28,B34,B40,B46,B52,B58,B64,B70,B76)</f>
        <v>17864</v>
      </c>
      <c r="C82" s="32">
        <f t="shared" si="12"/>
        <v>22080</v>
      </c>
      <c r="D82" s="33">
        <f>SUM(B82:C82)</f>
        <v>39944</v>
      </c>
      <c r="E82" s="10"/>
    </row>
    <row r="83" spans="1:5" ht="18" customHeight="1" x14ac:dyDescent="0.35">
      <c r="A83" s="34" t="s">
        <v>5</v>
      </c>
      <c r="B83" s="46">
        <f t="shared" ref="B83:C83" si="13">SUM(B11,B17,B23,B29,B35,B41,B47,B53,B59,B65,B71,B77)</f>
        <v>16034948.450000003</v>
      </c>
      <c r="C83" s="46">
        <f t="shared" si="13"/>
        <v>18119229.120000001</v>
      </c>
      <c r="D83" s="47">
        <f>SUM(B83:C83)</f>
        <v>34154177.570000008</v>
      </c>
      <c r="E83" s="11"/>
    </row>
    <row r="84" spans="1:5" ht="18" customHeight="1" x14ac:dyDescent="0.35">
      <c r="A84" s="34" t="s">
        <v>6</v>
      </c>
      <c r="B84" s="48">
        <f t="shared" ref="B84:C84" si="14">SUM(B12,B18,B24,B30,B36,B42,B48,B54,B60,B66,B72,B78)</f>
        <v>16034948.450000003</v>
      </c>
      <c r="C84" s="48">
        <f t="shared" si="14"/>
        <v>18119229.120000001</v>
      </c>
      <c r="D84" s="47">
        <f>SUM(B84:C84)</f>
        <v>34154177.570000008</v>
      </c>
      <c r="E84" s="11"/>
    </row>
    <row r="85" spans="1:5" ht="18" customHeight="1" x14ac:dyDescent="0.35">
      <c r="A85" s="34" t="s">
        <v>7</v>
      </c>
      <c r="B85" s="53">
        <f t="shared" ref="B85:C85" si="15">SUM(B13,B19,B25,B31,B37,B43,B49,B55,B61,B67,B73,B79)</f>
        <v>0</v>
      </c>
      <c r="C85" s="53">
        <f t="shared" si="15"/>
        <v>0</v>
      </c>
      <c r="D85" s="54">
        <f>SUM(B85:C85)</f>
        <v>0</v>
      </c>
      <c r="E85" s="12"/>
    </row>
    <row r="86" spans="1:5" ht="15.75" customHeight="1" thickBot="1" x14ac:dyDescent="0.35">
      <c r="A86" s="35" t="s">
        <v>1</v>
      </c>
      <c r="B86" s="36">
        <f t="shared" ref="B86:D86" si="16">IF(ISERROR(B84/B83),"",B84/B83)</f>
        <v>1</v>
      </c>
      <c r="C86" s="36">
        <f t="shared" si="16"/>
        <v>1</v>
      </c>
      <c r="D86" s="37">
        <f t="shared" si="16"/>
        <v>1</v>
      </c>
      <c r="E86" s="13"/>
    </row>
    <row r="88" spans="1:5" ht="79.2" hidden="1" customHeight="1" x14ac:dyDescent="0.3">
      <c r="A88" s="200" t="s">
        <v>55</v>
      </c>
      <c r="B88" s="200"/>
      <c r="C88" s="200"/>
      <c r="D88" s="200"/>
      <c r="E88" s="200"/>
    </row>
    <row r="89" spans="1:5" s="74" customFormat="1" ht="18" x14ac:dyDescent="0.3">
      <c r="A89" s="185" t="str">
        <f>A2</f>
        <v>станом на 30.04.2026 року</v>
      </c>
      <c r="B89" s="185"/>
      <c r="C89" s="185"/>
      <c r="D89" s="185"/>
      <c r="E89" s="185"/>
    </row>
    <row r="90" spans="1:5" ht="30.6" collapsed="1" x14ac:dyDescent="0.3">
      <c r="A90" s="214" t="s">
        <v>56</v>
      </c>
      <c r="B90" s="214"/>
      <c r="C90" s="214"/>
      <c r="D90" s="214"/>
      <c r="E90" s="214"/>
    </row>
    <row r="91" spans="1:5" ht="10.95" customHeight="1" thickBot="1" x14ac:dyDescent="0.35">
      <c r="A91" s="76"/>
      <c r="B91" s="75"/>
      <c r="C91" s="77"/>
      <c r="D91" s="78"/>
      <c r="E91" s="77"/>
    </row>
    <row r="92" spans="1:5" ht="18" customHeight="1" x14ac:dyDescent="0.3">
      <c r="A92" s="205" t="s">
        <v>3</v>
      </c>
      <c r="B92" s="38" t="s">
        <v>71</v>
      </c>
      <c r="C92" s="39" t="s">
        <v>72</v>
      </c>
      <c r="D92" s="209" t="s">
        <v>4</v>
      </c>
      <c r="E92" s="207" t="s">
        <v>9</v>
      </c>
    </row>
    <row r="93" spans="1:5" ht="18.75" customHeight="1" thickBot="1" x14ac:dyDescent="0.35">
      <c r="A93" s="206"/>
      <c r="B93" s="40" t="s">
        <v>73</v>
      </c>
      <c r="C93" s="40" t="s">
        <v>74</v>
      </c>
      <c r="D93" s="210"/>
      <c r="E93" s="208"/>
    </row>
    <row r="94" spans="1:5" customFormat="1" ht="31.8" customHeight="1" thickBot="1" x14ac:dyDescent="0.35">
      <c r="A94" s="176" t="s">
        <v>2</v>
      </c>
      <c r="B94" s="177"/>
      <c r="C94" s="177"/>
      <c r="D94" s="177"/>
      <c r="E94" s="178"/>
    </row>
    <row r="95" spans="1:5" ht="21.6" hidden="1" customHeight="1" outlineLevel="1" thickBot="1" x14ac:dyDescent="0.35">
      <c r="A95" s="197" t="s">
        <v>41</v>
      </c>
      <c r="B95" s="198"/>
      <c r="C95" s="198"/>
      <c r="D95" s="198"/>
      <c r="E95" s="199"/>
    </row>
    <row r="96" spans="1:5" ht="15" collapsed="1" thickBot="1" x14ac:dyDescent="0.35">
      <c r="A96" s="188" t="s">
        <v>57</v>
      </c>
      <c r="B96" s="189"/>
      <c r="C96" s="189"/>
      <c r="D96" s="189"/>
      <c r="E96" s="190"/>
    </row>
    <row r="97" spans="1:5" x14ac:dyDescent="0.3">
      <c r="A97" s="79" t="s">
        <v>78</v>
      </c>
      <c r="B97" s="80">
        <f>ЗНАМЕНКА!B25</f>
        <v>5944</v>
      </c>
      <c r="C97" s="80">
        <f>ОЛЕКСАНДРІЯ!B25</f>
        <v>7440</v>
      </c>
      <c r="D97" s="81">
        <f>SUM(B97:C97)</f>
        <v>13384</v>
      </c>
      <c r="E97" s="82">
        <f>+D97</f>
        <v>13384</v>
      </c>
    </row>
    <row r="98" spans="1:5" ht="15.6" x14ac:dyDescent="0.3">
      <c r="A98" s="83" t="s">
        <v>5</v>
      </c>
      <c r="B98" s="84">
        <f>ЗНАМЕНКА!D25</f>
        <v>5534268.1900000004</v>
      </c>
      <c r="C98" s="84">
        <f>ОЛЕКСАНДРІЯ!D25</f>
        <v>6292008</v>
      </c>
      <c r="D98" s="85">
        <f>SUM(B98:C98)</f>
        <v>11826276.190000001</v>
      </c>
      <c r="E98" s="86">
        <f>+D98</f>
        <v>11826276.190000001</v>
      </c>
    </row>
    <row r="99" spans="1:5" ht="15.6" x14ac:dyDescent="0.3">
      <c r="A99" s="83" t="s">
        <v>6</v>
      </c>
      <c r="B99" s="87">
        <f>ЗНАМЕНКА!E25</f>
        <v>5534268.1900000004</v>
      </c>
      <c r="C99" s="87">
        <f>ОЛЕКСАНДРІЯ!E25</f>
        <v>6292008</v>
      </c>
      <c r="D99" s="85">
        <f>SUM(B99:C99)</f>
        <v>11826276.190000001</v>
      </c>
      <c r="E99" s="88">
        <f>+D99</f>
        <v>11826276.190000001</v>
      </c>
    </row>
    <row r="100" spans="1:5" ht="16.2" thickBot="1" x14ac:dyDescent="0.35">
      <c r="A100" s="89" t="s">
        <v>7</v>
      </c>
      <c r="B100" s="90">
        <f>ЗНАМЕНКА!F25</f>
        <v>0</v>
      </c>
      <c r="C100" s="90">
        <f>ОЛЕКСАНДРІЯ!F25</f>
        <v>0</v>
      </c>
      <c r="D100" s="91">
        <f>SUM(B100:C100)</f>
        <v>0</v>
      </c>
      <c r="E100" s="92">
        <f>D100</f>
        <v>0</v>
      </c>
    </row>
    <row r="101" spans="1:5" ht="15" thickBot="1" x14ac:dyDescent="0.35">
      <c r="A101" s="93" t="s">
        <v>1</v>
      </c>
      <c r="B101" s="94">
        <f t="shared" ref="B101:E101" si="17">IF(ISERROR(B99/B98),"",B99/B98)</f>
        <v>1</v>
      </c>
      <c r="C101" s="94">
        <f t="shared" si="17"/>
        <v>1</v>
      </c>
      <c r="D101" s="95">
        <f t="shared" si="17"/>
        <v>1</v>
      </c>
      <c r="E101" s="96">
        <f t="shared" si="17"/>
        <v>1</v>
      </c>
    </row>
    <row r="102" spans="1:5" ht="15" thickBot="1" x14ac:dyDescent="0.35">
      <c r="A102" s="188" t="s">
        <v>58</v>
      </c>
      <c r="B102" s="189"/>
      <c r="C102" s="189"/>
      <c r="D102" s="189"/>
      <c r="E102" s="190"/>
    </row>
    <row r="103" spans="1:5" x14ac:dyDescent="0.3">
      <c r="A103" s="79" t="s">
        <v>78</v>
      </c>
      <c r="B103" s="80">
        <f>ЗНАМЕНКА!B26</f>
        <v>5376</v>
      </c>
      <c r="C103" s="80">
        <f>ОЛЕКСАНДРІЯ!B26</f>
        <v>6720</v>
      </c>
      <c r="D103" s="81">
        <f>SUM(B103:C103)</f>
        <v>12096</v>
      </c>
      <c r="E103" s="82">
        <f>E97+D103</f>
        <v>25480</v>
      </c>
    </row>
    <row r="104" spans="1:5" ht="15.6" x14ac:dyDescent="0.3">
      <c r="A104" s="83" t="s">
        <v>5</v>
      </c>
      <c r="B104" s="84">
        <f>ЗНАМЕНКА!D26</f>
        <v>5072836.6100000003</v>
      </c>
      <c r="C104" s="84">
        <f>ОЛЕКСАНДРІЯ!D26</f>
        <v>5759631.3600000003</v>
      </c>
      <c r="D104" s="85">
        <f>SUM(B104:C104)</f>
        <v>10832467.970000001</v>
      </c>
      <c r="E104" s="86">
        <f>E98+D104</f>
        <v>22658744.160000004</v>
      </c>
    </row>
    <row r="105" spans="1:5" ht="15.6" x14ac:dyDescent="0.3">
      <c r="A105" s="83" t="s">
        <v>6</v>
      </c>
      <c r="B105" s="87">
        <f>ЗНАМЕНКА!E26</f>
        <v>5072836.6100000003</v>
      </c>
      <c r="C105" s="87">
        <f>ОЛЕКСАНДРІЯ!E26</f>
        <v>5759631.3600000003</v>
      </c>
      <c r="D105" s="85">
        <f>SUM(B105:C105)</f>
        <v>10832467.970000001</v>
      </c>
      <c r="E105" s="88">
        <f>E99+D105</f>
        <v>22658744.160000004</v>
      </c>
    </row>
    <row r="106" spans="1:5" ht="16.2" thickBot="1" x14ac:dyDescent="0.35">
      <c r="A106" s="89" t="s">
        <v>7</v>
      </c>
      <c r="B106" s="90">
        <f>ЗНАМЕНКА!F26</f>
        <v>0</v>
      </c>
      <c r="C106" s="90">
        <f>ОЛЕКСАНДРІЯ!F26</f>
        <v>0</v>
      </c>
      <c r="D106" s="91">
        <f>SUM(B106:C106)</f>
        <v>0</v>
      </c>
      <c r="E106" s="92">
        <f>E100+D106</f>
        <v>0</v>
      </c>
    </row>
    <row r="107" spans="1:5" ht="15" thickBot="1" x14ac:dyDescent="0.35">
      <c r="A107" s="93" t="s">
        <v>1</v>
      </c>
      <c r="B107" s="94">
        <f t="shared" ref="B107:E107" si="18">IF(ISERROR(B105/B104),"",B105/B104)</f>
        <v>1</v>
      </c>
      <c r="C107" s="94">
        <f t="shared" si="18"/>
        <v>1</v>
      </c>
      <c r="D107" s="95">
        <f t="shared" si="18"/>
        <v>1</v>
      </c>
      <c r="E107" s="96">
        <f t="shared" si="18"/>
        <v>1</v>
      </c>
    </row>
    <row r="108" spans="1:5" ht="15" thickBot="1" x14ac:dyDescent="0.35">
      <c r="A108" s="188" t="s">
        <v>59</v>
      </c>
      <c r="B108" s="189"/>
      <c r="C108" s="189"/>
      <c r="D108" s="189"/>
      <c r="E108" s="190"/>
    </row>
    <row r="109" spans="1:5" x14ac:dyDescent="0.3">
      <c r="A109" s="79" t="s">
        <v>78</v>
      </c>
      <c r="B109" s="80">
        <f>ЗНАМЕНКА!B27</f>
        <v>5944</v>
      </c>
      <c r="C109" s="80">
        <f>ОЛЕКСАНДРІЯ!B27</f>
        <v>7430</v>
      </c>
      <c r="D109" s="81">
        <f>SUM(B109:C109)</f>
        <v>13374</v>
      </c>
      <c r="E109" s="82">
        <f>E103+D109</f>
        <v>38854</v>
      </c>
    </row>
    <row r="110" spans="1:5" ht="15.6" x14ac:dyDescent="0.3">
      <c r="A110" s="83" t="s">
        <v>5</v>
      </c>
      <c r="B110" s="84">
        <f>ЗНАМЕНКА!D27</f>
        <v>5575923.7400000002</v>
      </c>
      <c r="C110" s="84">
        <f>ОЛЕКСАНДРІЯ!D27</f>
        <v>6330805.7999999998</v>
      </c>
      <c r="D110" s="85">
        <f>SUM(B110:C110)</f>
        <v>11906729.539999999</v>
      </c>
      <c r="E110" s="86">
        <f>E104+D110</f>
        <v>34565473.700000003</v>
      </c>
    </row>
    <row r="111" spans="1:5" ht="15.6" x14ac:dyDescent="0.3">
      <c r="A111" s="83" t="s">
        <v>6</v>
      </c>
      <c r="B111" s="87">
        <f>ЗНАМЕНКА!E27</f>
        <v>5575923.7400000002</v>
      </c>
      <c r="C111" s="87">
        <f>ОЛЕКСАНДРІЯ!E27</f>
        <v>6330805.7999999998</v>
      </c>
      <c r="D111" s="85">
        <f>SUM(B111:C111)</f>
        <v>11906729.539999999</v>
      </c>
      <c r="E111" s="88">
        <f>E105+D111</f>
        <v>34565473.700000003</v>
      </c>
    </row>
    <row r="112" spans="1:5" ht="16.2" thickBot="1" x14ac:dyDescent="0.35">
      <c r="A112" s="89" t="s">
        <v>7</v>
      </c>
      <c r="B112" s="90">
        <f>ЗНАМЕНКА!F27</f>
        <v>0</v>
      </c>
      <c r="C112" s="90">
        <f>ОЛЕКСАНДРІЯ!F27</f>
        <v>0</v>
      </c>
      <c r="D112" s="91">
        <f>SUM(B112:C112)</f>
        <v>0</v>
      </c>
      <c r="E112" s="92">
        <f>E106+D112</f>
        <v>0</v>
      </c>
    </row>
    <row r="113" spans="1:5" ht="15" thickBot="1" x14ac:dyDescent="0.35">
      <c r="A113" s="93" t="s">
        <v>1</v>
      </c>
      <c r="B113" s="94">
        <f t="shared" ref="B113:E113" si="19">IF(ISERROR(B111/B110),"",B111/B110)</f>
        <v>1</v>
      </c>
      <c r="C113" s="94">
        <f t="shared" si="19"/>
        <v>1</v>
      </c>
      <c r="D113" s="95">
        <f t="shared" si="19"/>
        <v>1</v>
      </c>
      <c r="E113" s="96">
        <f t="shared" si="19"/>
        <v>1</v>
      </c>
    </row>
    <row r="114" spans="1:5" ht="15" thickBot="1" x14ac:dyDescent="0.35">
      <c r="A114" s="188" t="s">
        <v>60</v>
      </c>
      <c r="B114" s="189"/>
      <c r="C114" s="189"/>
      <c r="D114" s="189"/>
      <c r="E114" s="190"/>
    </row>
    <row r="115" spans="1:5" x14ac:dyDescent="0.3">
      <c r="A115" s="79" t="s">
        <v>78</v>
      </c>
      <c r="B115" s="80">
        <f>ЗНАМЕНКА!B28</f>
        <v>5760</v>
      </c>
      <c r="C115" s="80">
        <f>ОЛЕКСАНДРІЯ!B28</f>
        <v>7180</v>
      </c>
      <c r="D115" s="81">
        <f>SUM(B115:C115)</f>
        <v>12940</v>
      </c>
      <c r="E115" s="82">
        <f>E109+D115</f>
        <v>51794</v>
      </c>
    </row>
    <row r="116" spans="1:5" ht="15.6" x14ac:dyDescent="0.3">
      <c r="A116" s="83" t="s">
        <v>5</v>
      </c>
      <c r="B116" s="84">
        <f>ЗНАМЕНКА!D28</f>
        <v>5442716.1600000001</v>
      </c>
      <c r="C116" s="84">
        <f>ОЛЕКСАНДРІЯ!D28</f>
        <v>6162421.6799999997</v>
      </c>
      <c r="D116" s="85">
        <f>SUM(B116:C116)</f>
        <v>11605137.84</v>
      </c>
      <c r="E116" s="86">
        <f>E110+D116</f>
        <v>46170611.540000007</v>
      </c>
    </row>
    <row r="117" spans="1:5" ht="15.6" x14ac:dyDescent="0.3">
      <c r="A117" s="83" t="s">
        <v>6</v>
      </c>
      <c r="B117" s="87">
        <f>ЗНАМЕНКА!E28</f>
        <v>0</v>
      </c>
      <c r="C117" s="87">
        <f>ОЛЕКСАНДРІЯ!E28</f>
        <v>0</v>
      </c>
      <c r="D117" s="85">
        <f>SUM(B117:C117)</f>
        <v>0</v>
      </c>
      <c r="E117" s="88">
        <f>E111+D117</f>
        <v>34565473.700000003</v>
      </c>
    </row>
    <row r="118" spans="1:5" ht="16.2" thickBot="1" x14ac:dyDescent="0.35">
      <c r="A118" s="89" t="s">
        <v>7</v>
      </c>
      <c r="B118" s="90">
        <f>ЗНАМЕНКА!F28</f>
        <v>5442716.1600000001</v>
      </c>
      <c r="C118" s="90">
        <f>ОЛЕКСАНДРІЯ!F28</f>
        <v>6162421.6799999997</v>
      </c>
      <c r="D118" s="91">
        <f>SUM(B118:C118)</f>
        <v>11605137.84</v>
      </c>
      <c r="E118" s="92">
        <f>E112+D118</f>
        <v>11605137.84</v>
      </c>
    </row>
    <row r="119" spans="1:5" ht="15" thickBot="1" x14ac:dyDescent="0.35">
      <c r="A119" s="93" t="s">
        <v>1</v>
      </c>
      <c r="B119" s="94">
        <f t="shared" ref="B119:E119" si="20">IF(ISERROR(B117/B116),"",B117/B116)</f>
        <v>0</v>
      </c>
      <c r="C119" s="94">
        <f t="shared" si="20"/>
        <v>0</v>
      </c>
      <c r="D119" s="95">
        <f t="shared" si="20"/>
        <v>0</v>
      </c>
      <c r="E119" s="96">
        <f t="shared" si="20"/>
        <v>0.74864665091243443</v>
      </c>
    </row>
    <row r="120" spans="1:5" ht="15" hidden="1" outlineLevel="1" thickBot="1" x14ac:dyDescent="0.35">
      <c r="A120" s="188" t="s">
        <v>61</v>
      </c>
      <c r="B120" s="189"/>
      <c r="C120" s="189"/>
      <c r="D120" s="189"/>
      <c r="E120" s="190"/>
    </row>
    <row r="121" spans="1:5" hidden="1" outlineLevel="1" x14ac:dyDescent="0.3">
      <c r="A121" s="79" t="s">
        <v>78</v>
      </c>
      <c r="B121" s="80">
        <f>ЗНАМЕНКА!B29</f>
        <v>0</v>
      </c>
      <c r="C121" s="80">
        <f>ОЛЕКСАНДРІЯ!B29</f>
        <v>0</v>
      </c>
      <c r="D121" s="81">
        <f>SUM(B121:C121)</f>
        <v>0</v>
      </c>
      <c r="E121" s="82">
        <f>E115+D121</f>
        <v>51794</v>
      </c>
    </row>
    <row r="122" spans="1:5" ht="15.6" hidden="1" outlineLevel="1" x14ac:dyDescent="0.3">
      <c r="A122" s="83" t="s">
        <v>5</v>
      </c>
      <c r="B122" s="84">
        <f>ЗНАМЕНКА!D29</f>
        <v>0</v>
      </c>
      <c r="C122" s="84">
        <f>ОЛЕКСАНДРІЯ!D29</f>
        <v>0</v>
      </c>
      <c r="D122" s="85">
        <f>SUM(B122:C122)</f>
        <v>0</v>
      </c>
      <c r="E122" s="86">
        <f>E116+D122</f>
        <v>46170611.540000007</v>
      </c>
    </row>
    <row r="123" spans="1:5" ht="15.6" hidden="1" outlineLevel="1" x14ac:dyDescent="0.3">
      <c r="A123" s="83" t="s">
        <v>6</v>
      </c>
      <c r="B123" s="87">
        <f>ЗНАМЕНКА!E29</f>
        <v>0</v>
      </c>
      <c r="C123" s="87">
        <f>ОЛЕКСАНДРІЯ!E29</f>
        <v>0</v>
      </c>
      <c r="D123" s="85">
        <f>SUM(B123:C123)</f>
        <v>0</v>
      </c>
      <c r="E123" s="88">
        <f>E117+D123</f>
        <v>34565473.700000003</v>
      </c>
    </row>
    <row r="124" spans="1:5" ht="16.2" hidden="1" outlineLevel="1" thickBot="1" x14ac:dyDescent="0.35">
      <c r="A124" s="89" t="s">
        <v>7</v>
      </c>
      <c r="B124" s="90">
        <f>ЗНАМЕНКА!F29</f>
        <v>0</v>
      </c>
      <c r="C124" s="90">
        <f>ОЛЕКСАНДРІЯ!F29</f>
        <v>0</v>
      </c>
      <c r="D124" s="91">
        <f>SUM(B124:C124)</f>
        <v>0</v>
      </c>
      <c r="E124" s="92">
        <f>E118+D124</f>
        <v>11605137.84</v>
      </c>
    </row>
    <row r="125" spans="1:5" ht="15" hidden="1" outlineLevel="1" thickBot="1" x14ac:dyDescent="0.35">
      <c r="A125" s="93" t="s">
        <v>1</v>
      </c>
      <c r="B125" s="94" t="str">
        <f t="shared" ref="B125:E125" si="21">IF(ISERROR(B123/B122),"",B123/B122)</f>
        <v/>
      </c>
      <c r="C125" s="94" t="str">
        <f t="shared" si="21"/>
        <v/>
      </c>
      <c r="D125" s="95" t="str">
        <f t="shared" si="21"/>
        <v/>
      </c>
      <c r="E125" s="96">
        <f t="shared" si="21"/>
        <v>0.74864665091243443</v>
      </c>
    </row>
    <row r="126" spans="1:5" ht="15" hidden="1" outlineLevel="1" thickBot="1" x14ac:dyDescent="0.35">
      <c r="A126" s="188" t="s">
        <v>62</v>
      </c>
      <c r="B126" s="189"/>
      <c r="C126" s="189"/>
      <c r="D126" s="189"/>
      <c r="E126" s="190"/>
    </row>
    <row r="127" spans="1:5" hidden="1" outlineLevel="1" x14ac:dyDescent="0.3">
      <c r="A127" s="79" t="s">
        <v>78</v>
      </c>
      <c r="B127" s="80">
        <f>ЗНАМЕНКА!B30</f>
        <v>0</v>
      </c>
      <c r="C127" s="80">
        <f>ОЛЕКСАНДРІЯ!B30</f>
        <v>0</v>
      </c>
      <c r="D127" s="81">
        <f>SUM(B127:C127)</f>
        <v>0</v>
      </c>
      <c r="E127" s="82">
        <f>E121+D127</f>
        <v>51794</v>
      </c>
    </row>
    <row r="128" spans="1:5" ht="15.6" hidden="1" outlineLevel="1" x14ac:dyDescent="0.3">
      <c r="A128" s="83" t="s">
        <v>5</v>
      </c>
      <c r="B128" s="84">
        <f>ЗНАМЕНКА!D30</f>
        <v>0</v>
      </c>
      <c r="C128" s="84">
        <f>ОЛЕКСАНДРІЯ!D30</f>
        <v>0</v>
      </c>
      <c r="D128" s="85">
        <f>SUM(B128:C128)</f>
        <v>0</v>
      </c>
      <c r="E128" s="86">
        <f>E122+D128</f>
        <v>46170611.540000007</v>
      </c>
    </row>
    <row r="129" spans="1:5" ht="15.6" hidden="1" outlineLevel="1" x14ac:dyDescent="0.3">
      <c r="A129" s="83" t="s">
        <v>6</v>
      </c>
      <c r="B129" s="87">
        <f>ЗНАМЕНКА!E30</f>
        <v>0</v>
      </c>
      <c r="C129" s="87">
        <f>ОЛЕКСАНДРІЯ!E30</f>
        <v>0</v>
      </c>
      <c r="D129" s="85">
        <f>SUM(B129:C129)</f>
        <v>0</v>
      </c>
      <c r="E129" s="88">
        <f>E123+D129</f>
        <v>34565473.700000003</v>
      </c>
    </row>
    <row r="130" spans="1:5" ht="16.2" hidden="1" outlineLevel="1" thickBot="1" x14ac:dyDescent="0.35">
      <c r="A130" s="89" t="s">
        <v>7</v>
      </c>
      <c r="B130" s="90">
        <f>ЗНАМЕНКА!F30</f>
        <v>0</v>
      </c>
      <c r="C130" s="90">
        <f>ОЛЕКСАНДРІЯ!F30</f>
        <v>0</v>
      </c>
      <c r="D130" s="91">
        <f>SUM(B130:C130)</f>
        <v>0</v>
      </c>
      <c r="E130" s="92">
        <f>E124+D130</f>
        <v>11605137.84</v>
      </c>
    </row>
    <row r="131" spans="1:5" ht="15" hidden="1" outlineLevel="1" thickBot="1" x14ac:dyDescent="0.35">
      <c r="A131" s="93" t="s">
        <v>1</v>
      </c>
      <c r="B131" s="94" t="str">
        <f t="shared" ref="B131:E131" si="22">IF(ISERROR(B129/B128),"",B129/B128)</f>
        <v/>
      </c>
      <c r="C131" s="94" t="str">
        <f t="shared" si="22"/>
        <v/>
      </c>
      <c r="D131" s="95" t="str">
        <f t="shared" si="22"/>
        <v/>
      </c>
      <c r="E131" s="96">
        <f t="shared" si="22"/>
        <v>0.74864665091243443</v>
      </c>
    </row>
    <row r="132" spans="1:5" ht="15" hidden="1" outlineLevel="1" thickBot="1" x14ac:dyDescent="0.35">
      <c r="A132" s="188" t="s">
        <v>63</v>
      </c>
      <c r="B132" s="189"/>
      <c r="C132" s="189"/>
      <c r="D132" s="189"/>
      <c r="E132" s="190"/>
    </row>
    <row r="133" spans="1:5" hidden="1" outlineLevel="1" x14ac:dyDescent="0.3">
      <c r="A133" s="79" t="s">
        <v>78</v>
      </c>
      <c r="B133" s="80">
        <f>ЗНАМЕНКА!B31</f>
        <v>0</v>
      </c>
      <c r="C133" s="80">
        <f>ОЛЕКСАНДРІЯ!B31</f>
        <v>0</v>
      </c>
      <c r="D133" s="81">
        <f>SUM(B133:C133)</f>
        <v>0</v>
      </c>
      <c r="E133" s="82">
        <f>E127+D133</f>
        <v>51794</v>
      </c>
    </row>
    <row r="134" spans="1:5" ht="15.6" hidden="1" outlineLevel="1" x14ac:dyDescent="0.3">
      <c r="A134" s="83" t="s">
        <v>5</v>
      </c>
      <c r="B134" s="84">
        <f>ЗНАМЕНКА!D31</f>
        <v>0</v>
      </c>
      <c r="C134" s="84">
        <f>ОЛЕКСАНДРІЯ!D31</f>
        <v>0</v>
      </c>
      <c r="D134" s="85">
        <f>SUM(B134:C134)</f>
        <v>0</v>
      </c>
      <c r="E134" s="86">
        <f>E128+D134</f>
        <v>46170611.540000007</v>
      </c>
    </row>
    <row r="135" spans="1:5" ht="15.6" hidden="1" outlineLevel="1" x14ac:dyDescent="0.3">
      <c r="A135" s="83" t="s">
        <v>6</v>
      </c>
      <c r="B135" s="87">
        <f>ЗНАМЕНКА!E31</f>
        <v>0</v>
      </c>
      <c r="C135" s="87">
        <f>ОЛЕКСАНДРІЯ!E31</f>
        <v>0</v>
      </c>
      <c r="D135" s="85">
        <f>SUM(B135:C135)</f>
        <v>0</v>
      </c>
      <c r="E135" s="88">
        <f>E129+D135</f>
        <v>34565473.700000003</v>
      </c>
    </row>
    <row r="136" spans="1:5" ht="16.2" hidden="1" outlineLevel="1" thickBot="1" x14ac:dyDescent="0.35">
      <c r="A136" s="89" t="s">
        <v>7</v>
      </c>
      <c r="B136" s="90">
        <f>ЗНАМЕНКА!F31</f>
        <v>0</v>
      </c>
      <c r="C136" s="90">
        <f>ОЛЕКСАНДРІЯ!F31</f>
        <v>0</v>
      </c>
      <c r="D136" s="91">
        <f>SUM(B136:C136)</f>
        <v>0</v>
      </c>
      <c r="E136" s="92">
        <f>E130+D136</f>
        <v>11605137.84</v>
      </c>
    </row>
    <row r="137" spans="1:5" ht="15" hidden="1" outlineLevel="1" thickBot="1" x14ac:dyDescent="0.35">
      <c r="A137" s="93" t="s">
        <v>1</v>
      </c>
      <c r="B137" s="94" t="str">
        <f t="shared" ref="B137:E137" si="23">IF(ISERROR(B135/B134),"",B135/B134)</f>
        <v/>
      </c>
      <c r="C137" s="94" t="str">
        <f t="shared" si="23"/>
        <v/>
      </c>
      <c r="D137" s="95" t="str">
        <f t="shared" si="23"/>
        <v/>
      </c>
      <c r="E137" s="96">
        <f t="shared" si="23"/>
        <v>0.74864665091243443</v>
      </c>
    </row>
    <row r="138" spans="1:5" ht="15" hidden="1" outlineLevel="1" thickBot="1" x14ac:dyDescent="0.35">
      <c r="A138" s="188" t="s">
        <v>64</v>
      </c>
      <c r="B138" s="189"/>
      <c r="C138" s="189"/>
      <c r="D138" s="189"/>
      <c r="E138" s="190"/>
    </row>
    <row r="139" spans="1:5" hidden="1" outlineLevel="1" x14ac:dyDescent="0.3">
      <c r="A139" s="79" t="s">
        <v>78</v>
      </c>
      <c r="B139" s="80">
        <f>ЗНАМЕНКА!B32</f>
        <v>0</v>
      </c>
      <c r="C139" s="80">
        <f>ОЛЕКСАНДРІЯ!B32</f>
        <v>0</v>
      </c>
      <c r="D139" s="81">
        <f>SUM(B139:C139)</f>
        <v>0</v>
      </c>
      <c r="E139" s="82">
        <f>E133+D139</f>
        <v>51794</v>
      </c>
    </row>
    <row r="140" spans="1:5" ht="15.6" hidden="1" outlineLevel="1" x14ac:dyDescent="0.3">
      <c r="A140" s="83" t="s">
        <v>5</v>
      </c>
      <c r="B140" s="84">
        <f>ЗНАМЕНКА!D32</f>
        <v>0</v>
      </c>
      <c r="C140" s="84">
        <f>ОЛЕКСАНДРІЯ!D32</f>
        <v>0</v>
      </c>
      <c r="D140" s="85">
        <f>SUM(B140:C140)</f>
        <v>0</v>
      </c>
      <c r="E140" s="86">
        <f>E134+D140</f>
        <v>46170611.540000007</v>
      </c>
    </row>
    <row r="141" spans="1:5" ht="15.6" hidden="1" outlineLevel="1" x14ac:dyDescent="0.3">
      <c r="A141" s="83" t="s">
        <v>6</v>
      </c>
      <c r="B141" s="87">
        <f>ЗНАМЕНКА!E32</f>
        <v>0</v>
      </c>
      <c r="C141" s="87">
        <f>ОЛЕКСАНДРІЯ!E32</f>
        <v>0</v>
      </c>
      <c r="D141" s="85">
        <f>SUM(B141:C141)</f>
        <v>0</v>
      </c>
      <c r="E141" s="88">
        <f>E135+D141</f>
        <v>34565473.700000003</v>
      </c>
    </row>
    <row r="142" spans="1:5" ht="16.2" hidden="1" outlineLevel="1" thickBot="1" x14ac:dyDescent="0.35">
      <c r="A142" s="89" t="s">
        <v>7</v>
      </c>
      <c r="B142" s="90">
        <f>ЗНАМЕНКА!F32</f>
        <v>0</v>
      </c>
      <c r="C142" s="90">
        <f>ОЛЕКСАНДРІЯ!F32</f>
        <v>0</v>
      </c>
      <c r="D142" s="91">
        <f>SUM(B142:C142)</f>
        <v>0</v>
      </c>
      <c r="E142" s="92">
        <f>E136+D142</f>
        <v>11605137.84</v>
      </c>
    </row>
    <row r="143" spans="1:5" ht="15" hidden="1" outlineLevel="1" thickBot="1" x14ac:dyDescent="0.35">
      <c r="A143" s="93" t="s">
        <v>1</v>
      </c>
      <c r="B143" s="94" t="str">
        <f t="shared" ref="B143:E143" si="24">IF(ISERROR(B141/B140),"",B141/B140)</f>
        <v/>
      </c>
      <c r="C143" s="94" t="str">
        <f t="shared" si="24"/>
        <v/>
      </c>
      <c r="D143" s="95" t="str">
        <f t="shared" si="24"/>
        <v/>
      </c>
      <c r="E143" s="96">
        <f t="shared" si="24"/>
        <v>0.74864665091243443</v>
      </c>
    </row>
    <row r="144" spans="1:5" ht="15" hidden="1" outlineLevel="1" thickBot="1" x14ac:dyDescent="0.35">
      <c r="A144" s="188" t="s">
        <v>65</v>
      </c>
      <c r="B144" s="189"/>
      <c r="C144" s="189"/>
      <c r="D144" s="189"/>
      <c r="E144" s="190"/>
    </row>
    <row r="145" spans="1:5" hidden="1" outlineLevel="1" x14ac:dyDescent="0.3">
      <c r="A145" s="79" t="s">
        <v>78</v>
      </c>
      <c r="B145" s="80">
        <f>ЗНАМЕНКА!B33</f>
        <v>0</v>
      </c>
      <c r="C145" s="80">
        <f>ОЛЕКСАНДРІЯ!B33</f>
        <v>0</v>
      </c>
      <c r="D145" s="81">
        <f>SUM(B145:C145)</f>
        <v>0</v>
      </c>
      <c r="E145" s="82">
        <f>E139+D145</f>
        <v>51794</v>
      </c>
    </row>
    <row r="146" spans="1:5" ht="15.6" hidden="1" outlineLevel="1" x14ac:dyDescent="0.3">
      <c r="A146" s="83" t="s">
        <v>5</v>
      </c>
      <c r="B146" s="84">
        <f>ЗНАМЕНКА!D33</f>
        <v>0</v>
      </c>
      <c r="C146" s="84">
        <f>ОЛЕКСАНДРІЯ!D33</f>
        <v>0</v>
      </c>
      <c r="D146" s="85">
        <f>SUM(B146:C146)</f>
        <v>0</v>
      </c>
      <c r="E146" s="86">
        <f>E140+D146</f>
        <v>46170611.540000007</v>
      </c>
    </row>
    <row r="147" spans="1:5" ht="15.6" hidden="1" outlineLevel="1" x14ac:dyDescent="0.3">
      <c r="A147" s="83" t="s">
        <v>6</v>
      </c>
      <c r="B147" s="87">
        <f>ЗНАМЕНКА!E33</f>
        <v>0</v>
      </c>
      <c r="C147" s="87">
        <f>ОЛЕКСАНДРІЯ!E33</f>
        <v>0</v>
      </c>
      <c r="D147" s="85">
        <f>SUM(B147:C147)</f>
        <v>0</v>
      </c>
      <c r="E147" s="88">
        <f>E141+D147</f>
        <v>34565473.700000003</v>
      </c>
    </row>
    <row r="148" spans="1:5" ht="16.2" hidden="1" outlineLevel="1" thickBot="1" x14ac:dyDescent="0.35">
      <c r="A148" s="89" t="s">
        <v>7</v>
      </c>
      <c r="B148" s="90">
        <f>ЗНАМЕНКА!F33</f>
        <v>0</v>
      </c>
      <c r="C148" s="90">
        <f>ОЛЕКСАНДРІЯ!F33</f>
        <v>0</v>
      </c>
      <c r="D148" s="91">
        <f>SUM(B148:C148)</f>
        <v>0</v>
      </c>
      <c r="E148" s="92">
        <f>E142+D148</f>
        <v>11605137.84</v>
      </c>
    </row>
    <row r="149" spans="1:5" ht="15" hidden="1" outlineLevel="1" thickBot="1" x14ac:dyDescent="0.35">
      <c r="A149" s="93" t="s">
        <v>1</v>
      </c>
      <c r="B149" s="94" t="str">
        <f t="shared" ref="B149:E149" si="25">IF(ISERROR(B147/B146),"",B147/B146)</f>
        <v/>
      </c>
      <c r="C149" s="94" t="str">
        <f t="shared" si="25"/>
        <v/>
      </c>
      <c r="D149" s="95" t="str">
        <f t="shared" si="25"/>
        <v/>
      </c>
      <c r="E149" s="96">
        <f t="shared" si="25"/>
        <v>0.74864665091243443</v>
      </c>
    </row>
    <row r="150" spans="1:5" ht="15" hidden="1" outlineLevel="1" thickBot="1" x14ac:dyDescent="0.35">
      <c r="A150" s="188" t="s">
        <v>66</v>
      </c>
      <c r="B150" s="189"/>
      <c r="C150" s="189"/>
      <c r="D150" s="189"/>
      <c r="E150" s="190"/>
    </row>
    <row r="151" spans="1:5" hidden="1" outlineLevel="1" x14ac:dyDescent="0.3">
      <c r="A151" s="79" t="s">
        <v>78</v>
      </c>
      <c r="B151" s="80">
        <f>ЗНАМЕНКА!B34</f>
        <v>0</v>
      </c>
      <c r="C151" s="80">
        <f>ОЛЕКСАНДРІЯ!B34</f>
        <v>0</v>
      </c>
      <c r="D151" s="81">
        <f>SUM(B151:C151)</f>
        <v>0</v>
      </c>
      <c r="E151" s="82">
        <f>E145+D151</f>
        <v>51794</v>
      </c>
    </row>
    <row r="152" spans="1:5" ht="15.6" hidden="1" outlineLevel="1" x14ac:dyDescent="0.3">
      <c r="A152" s="83" t="s">
        <v>5</v>
      </c>
      <c r="B152" s="84">
        <f>ЗНАМЕНКА!D34</f>
        <v>0</v>
      </c>
      <c r="C152" s="84">
        <f>ОЛЕКСАНДРІЯ!D34</f>
        <v>0</v>
      </c>
      <c r="D152" s="85">
        <f>SUM(B152:C152)</f>
        <v>0</v>
      </c>
      <c r="E152" s="86">
        <f>E146+D152</f>
        <v>46170611.540000007</v>
      </c>
    </row>
    <row r="153" spans="1:5" ht="15.6" hidden="1" outlineLevel="1" x14ac:dyDescent="0.3">
      <c r="A153" s="83" t="s">
        <v>6</v>
      </c>
      <c r="B153" s="87">
        <f>ЗНАМЕНКА!E34</f>
        <v>0</v>
      </c>
      <c r="C153" s="87">
        <f>ОЛЕКСАНДРІЯ!E34</f>
        <v>0</v>
      </c>
      <c r="D153" s="85">
        <f>SUM(B153:C153)</f>
        <v>0</v>
      </c>
      <c r="E153" s="88">
        <f>E147+D153</f>
        <v>34565473.700000003</v>
      </c>
    </row>
    <row r="154" spans="1:5" ht="16.2" hidden="1" outlineLevel="1" thickBot="1" x14ac:dyDescent="0.35">
      <c r="A154" s="89" t="s">
        <v>7</v>
      </c>
      <c r="B154" s="90">
        <f>ЗНАМЕНКА!F34</f>
        <v>0</v>
      </c>
      <c r="C154" s="90">
        <f>ОЛЕКСАНДРІЯ!F34</f>
        <v>0</v>
      </c>
      <c r="D154" s="91">
        <f>SUM(B154:C154)</f>
        <v>0</v>
      </c>
      <c r="E154" s="92">
        <f>E148+D154</f>
        <v>11605137.84</v>
      </c>
    </row>
    <row r="155" spans="1:5" ht="15" hidden="1" outlineLevel="1" thickBot="1" x14ac:dyDescent="0.35">
      <c r="A155" s="93" t="s">
        <v>1</v>
      </c>
      <c r="B155" s="94" t="str">
        <f t="shared" ref="B155:E155" si="26">IF(ISERROR(B153/B152),"",B153/B152)</f>
        <v/>
      </c>
      <c r="C155" s="94" t="str">
        <f t="shared" si="26"/>
        <v/>
      </c>
      <c r="D155" s="95" t="str">
        <f t="shared" si="26"/>
        <v/>
      </c>
      <c r="E155" s="96">
        <f t="shared" si="26"/>
        <v>0.74864665091243443</v>
      </c>
    </row>
    <row r="156" spans="1:5" ht="15" hidden="1" outlineLevel="1" thickBot="1" x14ac:dyDescent="0.35">
      <c r="A156" s="188" t="s">
        <v>67</v>
      </c>
      <c r="B156" s="189"/>
      <c r="C156" s="189"/>
      <c r="D156" s="189"/>
      <c r="E156" s="190"/>
    </row>
    <row r="157" spans="1:5" hidden="1" outlineLevel="1" x14ac:dyDescent="0.3">
      <c r="A157" s="79" t="s">
        <v>78</v>
      </c>
      <c r="B157" s="80">
        <f>ЗНАМЕНКА!B35</f>
        <v>0</v>
      </c>
      <c r="C157" s="80">
        <f>ОЛЕКСАНДРІЯ!B35</f>
        <v>0</v>
      </c>
      <c r="D157" s="81">
        <f>SUM(B157:C157)</f>
        <v>0</v>
      </c>
      <c r="E157" s="82">
        <f>E151+D157</f>
        <v>51794</v>
      </c>
    </row>
    <row r="158" spans="1:5" ht="15.6" hidden="1" outlineLevel="1" x14ac:dyDescent="0.3">
      <c r="A158" s="83" t="s">
        <v>5</v>
      </c>
      <c r="B158" s="84">
        <f>ЗНАМЕНКА!D35</f>
        <v>0</v>
      </c>
      <c r="C158" s="84">
        <f>ОЛЕКСАНДРІЯ!D35</f>
        <v>0</v>
      </c>
      <c r="D158" s="85">
        <f>SUM(B158:C158)</f>
        <v>0</v>
      </c>
      <c r="E158" s="86">
        <f>E152+D158</f>
        <v>46170611.540000007</v>
      </c>
    </row>
    <row r="159" spans="1:5" ht="15.6" hidden="1" outlineLevel="1" x14ac:dyDescent="0.3">
      <c r="A159" s="83" t="s">
        <v>6</v>
      </c>
      <c r="B159" s="87">
        <f>ЗНАМЕНКА!E35</f>
        <v>0</v>
      </c>
      <c r="C159" s="87">
        <f>ОЛЕКСАНДРІЯ!E35</f>
        <v>0</v>
      </c>
      <c r="D159" s="85">
        <f>SUM(B159:C159)</f>
        <v>0</v>
      </c>
      <c r="E159" s="88">
        <f>E153+D159</f>
        <v>34565473.700000003</v>
      </c>
    </row>
    <row r="160" spans="1:5" ht="16.2" hidden="1" outlineLevel="1" thickBot="1" x14ac:dyDescent="0.35">
      <c r="A160" s="89" t="s">
        <v>7</v>
      </c>
      <c r="B160" s="90">
        <f>ЗНАМЕНКА!F35</f>
        <v>0</v>
      </c>
      <c r="C160" s="90">
        <f>ОЛЕКСАНДРІЯ!F35</f>
        <v>0</v>
      </c>
      <c r="D160" s="91">
        <f>SUM(B160:C160)</f>
        <v>0</v>
      </c>
      <c r="E160" s="92">
        <f>E154+D160</f>
        <v>11605137.84</v>
      </c>
    </row>
    <row r="161" spans="1:5" ht="15" hidden="1" outlineLevel="1" thickBot="1" x14ac:dyDescent="0.35">
      <c r="A161" s="93" t="s">
        <v>1</v>
      </c>
      <c r="B161" s="94" t="str">
        <f t="shared" ref="B161:E161" si="27">IF(ISERROR(B159/B158),"",B159/B158)</f>
        <v/>
      </c>
      <c r="C161" s="94" t="str">
        <f t="shared" si="27"/>
        <v/>
      </c>
      <c r="D161" s="95" t="str">
        <f t="shared" si="27"/>
        <v/>
      </c>
      <c r="E161" s="96">
        <f t="shared" si="27"/>
        <v>0.74864665091243443</v>
      </c>
    </row>
    <row r="162" spans="1:5" ht="15" hidden="1" outlineLevel="1" thickBot="1" x14ac:dyDescent="0.35">
      <c r="A162" s="188" t="s">
        <v>68</v>
      </c>
      <c r="B162" s="189"/>
      <c r="C162" s="189"/>
      <c r="D162" s="189"/>
      <c r="E162" s="190"/>
    </row>
    <row r="163" spans="1:5" hidden="1" outlineLevel="1" x14ac:dyDescent="0.3">
      <c r="A163" s="79" t="s">
        <v>78</v>
      </c>
      <c r="B163" s="80">
        <f>ЗНАМЕНКА!B36</f>
        <v>0</v>
      </c>
      <c r="C163" s="80">
        <f>ОЛЕКСАНДРІЯ!B36</f>
        <v>0</v>
      </c>
      <c r="D163" s="81">
        <f>SUM(B163:C163)</f>
        <v>0</v>
      </c>
      <c r="E163" s="82">
        <f>E157+D163</f>
        <v>51794</v>
      </c>
    </row>
    <row r="164" spans="1:5" ht="15.6" hidden="1" outlineLevel="1" x14ac:dyDescent="0.3">
      <c r="A164" s="83" t="s">
        <v>5</v>
      </c>
      <c r="B164" s="84">
        <f>ЗНАМЕНКА!D36</f>
        <v>0</v>
      </c>
      <c r="C164" s="84">
        <f>ОЛЕКСАНДРІЯ!D36</f>
        <v>0</v>
      </c>
      <c r="D164" s="85">
        <f>SUM(B164:C164)</f>
        <v>0</v>
      </c>
      <c r="E164" s="86">
        <f>E158+D164</f>
        <v>46170611.540000007</v>
      </c>
    </row>
    <row r="165" spans="1:5" ht="15.6" hidden="1" outlineLevel="1" x14ac:dyDescent="0.3">
      <c r="A165" s="83" t="s">
        <v>6</v>
      </c>
      <c r="B165" s="87">
        <f>ЗНАМЕНКА!E36</f>
        <v>0</v>
      </c>
      <c r="C165" s="87">
        <f>ОЛЕКСАНДРІЯ!E36</f>
        <v>0</v>
      </c>
      <c r="D165" s="85">
        <f>SUM(B165:C165)</f>
        <v>0</v>
      </c>
      <c r="E165" s="88">
        <f>E159+D165</f>
        <v>34565473.700000003</v>
      </c>
    </row>
    <row r="166" spans="1:5" ht="16.2" hidden="1" outlineLevel="1" thickBot="1" x14ac:dyDescent="0.35">
      <c r="A166" s="89" t="s">
        <v>7</v>
      </c>
      <c r="B166" s="90">
        <f>ЗНАМЕНКА!F36</f>
        <v>0</v>
      </c>
      <c r="C166" s="90">
        <f>ОЛЕКСАНДРІЯ!F36</f>
        <v>0</v>
      </c>
      <c r="D166" s="91">
        <f>SUM(B166:C166)</f>
        <v>0</v>
      </c>
      <c r="E166" s="92">
        <f>E160+D166</f>
        <v>11605137.84</v>
      </c>
    </row>
    <row r="167" spans="1:5" ht="15" hidden="1" outlineLevel="1" thickBot="1" x14ac:dyDescent="0.35">
      <c r="A167" s="93" t="s">
        <v>1</v>
      </c>
      <c r="B167" s="94" t="str">
        <f t="shared" ref="B167:E167" si="28">IF(ISERROR(B165/B164),"",B165/B164)</f>
        <v/>
      </c>
      <c r="C167" s="94" t="str">
        <f t="shared" si="28"/>
        <v/>
      </c>
      <c r="D167" s="95" t="str">
        <f t="shared" si="28"/>
        <v/>
      </c>
      <c r="E167" s="96">
        <f t="shared" si="28"/>
        <v>0.74864665091243443</v>
      </c>
    </row>
    <row r="168" spans="1:5" ht="18.600000000000001" collapsed="1" thickBot="1" x14ac:dyDescent="0.35">
      <c r="A168" s="191" t="s">
        <v>69</v>
      </c>
      <c r="B168" s="192"/>
      <c r="C168" s="192"/>
      <c r="D168" s="193"/>
      <c r="E168" s="97"/>
    </row>
    <row r="169" spans="1:5" ht="17.399999999999999" x14ac:dyDescent="0.3">
      <c r="A169" s="98" t="s">
        <v>78</v>
      </c>
      <c r="B169" s="99">
        <f t="shared" ref="B169:C172" si="29">SUM(B97,B103,B109,B115,B121,B127,B133,B139,B145,B151,B157,B163)</f>
        <v>23024</v>
      </c>
      <c r="C169" s="99">
        <f t="shared" si="29"/>
        <v>28770</v>
      </c>
      <c r="D169" s="100">
        <f>SUM(B169:C169)</f>
        <v>51794</v>
      </c>
      <c r="E169" s="101"/>
    </row>
    <row r="170" spans="1:5" ht="17.399999999999999" x14ac:dyDescent="0.35">
      <c r="A170" s="102" t="s">
        <v>5</v>
      </c>
      <c r="B170" s="103">
        <f t="shared" si="29"/>
        <v>21625744.700000003</v>
      </c>
      <c r="C170" s="103">
        <f t="shared" si="29"/>
        <v>24544866.84</v>
      </c>
      <c r="D170" s="104">
        <f>SUM(B170:C170)</f>
        <v>46170611.540000007</v>
      </c>
      <c r="E170" s="105"/>
    </row>
    <row r="171" spans="1:5" ht="17.399999999999999" x14ac:dyDescent="0.35">
      <c r="A171" s="102" t="s">
        <v>6</v>
      </c>
      <c r="B171" s="106">
        <f t="shared" si="29"/>
        <v>16183028.540000001</v>
      </c>
      <c r="C171" s="106">
        <f t="shared" si="29"/>
        <v>18382445.16</v>
      </c>
      <c r="D171" s="104">
        <f>SUM(B171:C171)</f>
        <v>34565473.700000003</v>
      </c>
      <c r="E171" s="105"/>
    </row>
    <row r="172" spans="1:5" ht="17.399999999999999" x14ac:dyDescent="0.35">
      <c r="A172" s="102" t="s">
        <v>7</v>
      </c>
      <c r="B172" s="107">
        <f t="shared" si="29"/>
        <v>5442716.1600000001</v>
      </c>
      <c r="C172" s="107">
        <f t="shared" si="29"/>
        <v>6162421.6799999997</v>
      </c>
      <c r="D172" s="108">
        <f>SUM(B172:C172)</f>
        <v>11605137.84</v>
      </c>
      <c r="E172" s="109"/>
    </row>
    <row r="173" spans="1:5" ht="16.2" thickBot="1" x14ac:dyDescent="0.35">
      <c r="A173" s="110" t="s">
        <v>1</v>
      </c>
      <c r="B173" s="111">
        <f t="shared" ref="B173:D173" si="30">IF(ISERROR(B171/B170),"",B171/B170)</f>
        <v>0.74832237060488371</v>
      </c>
      <c r="C173" s="111">
        <f t="shared" si="30"/>
        <v>0.7489323645481224</v>
      </c>
      <c r="D173" s="112">
        <f t="shared" si="30"/>
        <v>0.74864665091243443</v>
      </c>
      <c r="E173" s="113"/>
    </row>
    <row r="174" spans="1:5" ht="18.600000000000001" hidden="1" outlineLevel="2" thickBot="1" x14ac:dyDescent="0.35">
      <c r="A174" s="194" t="s">
        <v>86</v>
      </c>
      <c r="B174" s="195"/>
      <c r="C174" s="195"/>
      <c r="D174" s="196"/>
      <c r="E174" s="97"/>
    </row>
    <row r="175" spans="1:5" ht="17.399999999999999" hidden="1" outlineLevel="2" x14ac:dyDescent="0.3">
      <c r="A175" s="114" t="s">
        <v>78</v>
      </c>
      <c r="B175" s="115">
        <f t="shared" ref="B175:C178" si="31">SUM(B82,B169)</f>
        <v>40888</v>
      </c>
      <c r="C175" s="115">
        <f t="shared" si="31"/>
        <v>50850</v>
      </c>
      <c r="D175" s="116">
        <f>SUM(B175:C175)</f>
        <v>91738</v>
      </c>
      <c r="E175" s="101"/>
    </row>
    <row r="176" spans="1:5" ht="17.399999999999999" hidden="1" outlineLevel="2" x14ac:dyDescent="0.35">
      <c r="A176" s="117" t="s">
        <v>5</v>
      </c>
      <c r="B176" s="118">
        <f t="shared" si="31"/>
        <v>37660693.150000006</v>
      </c>
      <c r="C176" s="118">
        <f t="shared" si="31"/>
        <v>42664095.960000001</v>
      </c>
      <c r="D176" s="119">
        <f>SUM(B176:C176)</f>
        <v>80324789.110000014</v>
      </c>
      <c r="E176" s="105"/>
    </row>
    <row r="177" spans="1:5" ht="17.399999999999999" hidden="1" outlineLevel="2" x14ac:dyDescent="0.35">
      <c r="A177" s="117" t="s">
        <v>6</v>
      </c>
      <c r="B177" s="120">
        <f t="shared" si="31"/>
        <v>32217976.990000002</v>
      </c>
      <c r="C177" s="120">
        <f t="shared" si="31"/>
        <v>36501674.280000001</v>
      </c>
      <c r="D177" s="119">
        <f>SUM(B177:C177)</f>
        <v>68719651.270000011</v>
      </c>
      <c r="E177" s="105"/>
    </row>
    <row r="178" spans="1:5" ht="17.399999999999999" hidden="1" outlineLevel="2" x14ac:dyDescent="0.35">
      <c r="A178" s="117" t="s">
        <v>7</v>
      </c>
      <c r="B178" s="121">
        <f t="shared" si="31"/>
        <v>5442716.1600000001</v>
      </c>
      <c r="C178" s="121">
        <f t="shared" si="31"/>
        <v>6162421.6799999997</v>
      </c>
      <c r="D178" s="122">
        <f>SUM(B178:C178)</f>
        <v>11605137.84</v>
      </c>
      <c r="E178" s="109"/>
    </row>
    <row r="179" spans="1:5" ht="16.2" hidden="1" outlineLevel="2" thickBot="1" x14ac:dyDescent="0.35">
      <c r="A179" s="123" t="s">
        <v>1</v>
      </c>
      <c r="B179" s="124">
        <f t="shared" ref="B179:D179" si="32">IF(ISERROR(B177/B176),"",B177/B176)</f>
        <v>0.85548019155351096</v>
      </c>
      <c r="C179" s="124">
        <f t="shared" si="32"/>
        <v>0.85555953920182404</v>
      </c>
      <c r="D179" s="125">
        <f t="shared" si="32"/>
        <v>0.85552233664619448</v>
      </c>
      <c r="E179" s="113"/>
    </row>
    <row r="180" spans="1:5" hidden="1" outlineLevel="1" x14ac:dyDescent="0.3">
      <c r="A180" s="75"/>
      <c r="B180" s="75"/>
      <c r="C180" s="75"/>
      <c r="D180" s="75"/>
      <c r="E180" s="75"/>
    </row>
    <row r="181" spans="1:5" collapsed="1" x14ac:dyDescent="0.3"/>
    <row r="183" spans="1:5" ht="98.4" customHeight="1" x14ac:dyDescent="0.3">
      <c r="A183" s="186" t="s">
        <v>97</v>
      </c>
      <c r="B183" s="187"/>
      <c r="C183" s="187"/>
      <c r="D183" s="187"/>
      <c r="E183" s="187"/>
    </row>
    <row r="185" spans="1:5" s="74" customFormat="1" ht="31.2" customHeight="1" x14ac:dyDescent="0.3">
      <c r="A185" s="185" t="str">
        <f>A2</f>
        <v>станом на 30.04.2026 року</v>
      </c>
      <c r="B185" s="185"/>
      <c r="C185" s="185"/>
      <c r="D185" s="185"/>
      <c r="E185" s="185"/>
    </row>
    <row r="186" spans="1:5" s="153" customFormat="1" ht="20.399999999999999" customHeight="1" thickBot="1" x14ac:dyDescent="0.5">
      <c r="A186" s="173" t="s">
        <v>87</v>
      </c>
      <c r="B186" s="173"/>
      <c r="C186" s="173"/>
      <c r="D186" s="173"/>
      <c r="E186" s="173"/>
    </row>
    <row r="187" spans="1:5" customFormat="1" ht="24" customHeight="1" x14ac:dyDescent="0.3">
      <c r="A187" s="179" t="s">
        <v>88</v>
      </c>
      <c r="B187" s="154" t="s">
        <v>71</v>
      </c>
      <c r="C187" s="154" t="s">
        <v>72</v>
      </c>
      <c r="D187" s="181" t="s">
        <v>4</v>
      </c>
      <c r="E187" s="183" t="s">
        <v>89</v>
      </c>
    </row>
    <row r="188" spans="1:5" customFormat="1" ht="18.75" customHeight="1" thickBot="1" x14ac:dyDescent="0.35">
      <c r="A188" s="180"/>
      <c r="B188" s="155" t="s">
        <v>73</v>
      </c>
      <c r="C188" s="155" t="s">
        <v>74</v>
      </c>
      <c r="D188" s="182"/>
      <c r="E188" s="184"/>
    </row>
    <row r="189" spans="1:5" s="159" customFormat="1" ht="18" collapsed="1" x14ac:dyDescent="0.35">
      <c r="A189" s="160" t="s">
        <v>90</v>
      </c>
      <c r="B189" s="156">
        <f>B83</f>
        <v>16034948.450000003</v>
      </c>
      <c r="C189" s="156">
        <f t="shared" ref="C189" si="33">C83</f>
        <v>18119229.120000001</v>
      </c>
      <c r="D189" s="157">
        <f>SUM(B189:C189)</f>
        <v>34154177.570000008</v>
      </c>
      <c r="E189" s="158">
        <f>IF(D189=0,"",100%)</f>
        <v>1</v>
      </c>
    </row>
    <row r="190" spans="1:5" s="159" customFormat="1" ht="18.600000000000001" collapsed="1" thickBot="1" x14ac:dyDescent="0.4">
      <c r="A190" s="160" t="s">
        <v>91</v>
      </c>
      <c r="B190" s="156">
        <f>B170</f>
        <v>21625744.700000003</v>
      </c>
      <c r="C190" s="156">
        <f t="shared" ref="C190" si="34">C170</f>
        <v>24544866.84</v>
      </c>
      <c r="D190" s="157">
        <f>SUM(B190:C190)</f>
        <v>46170611.540000007</v>
      </c>
      <c r="E190" s="158">
        <f>IF(D190=0,"",100%)</f>
        <v>1</v>
      </c>
    </row>
    <row r="191" spans="1:5" s="159" customFormat="1" ht="22.2" customHeight="1" thickBot="1" x14ac:dyDescent="0.45">
      <c r="A191" s="161" t="s">
        <v>92</v>
      </c>
      <c r="B191" s="162">
        <f>SUM(B189:B190)</f>
        <v>37660693.150000006</v>
      </c>
      <c r="C191" s="162">
        <f>SUM(C189:C190)</f>
        <v>42664095.960000001</v>
      </c>
      <c r="D191" s="163">
        <f>SUM(D189:D190)</f>
        <v>80324789.110000014</v>
      </c>
      <c r="E191" s="164">
        <f>AVERAGE(E189:E189)</f>
        <v>1</v>
      </c>
    </row>
    <row r="192" spans="1:5" ht="20.399999999999999" customHeight="1" x14ac:dyDescent="0.3"/>
    <row r="193" spans="1:5" s="153" customFormat="1" ht="20.399999999999999" customHeight="1" thickBot="1" x14ac:dyDescent="0.5">
      <c r="A193" s="173" t="s">
        <v>93</v>
      </c>
      <c r="B193" s="173"/>
      <c r="C193" s="173"/>
      <c r="D193" s="173"/>
      <c r="E193" s="173"/>
    </row>
    <row r="194" spans="1:5" customFormat="1" ht="24" customHeight="1" x14ac:dyDescent="0.3">
      <c r="A194" s="179" t="s">
        <v>88</v>
      </c>
      <c r="B194" s="154" t="s">
        <v>71</v>
      </c>
      <c r="C194" s="154" t="s">
        <v>72</v>
      </c>
      <c r="D194" s="181" t="s">
        <v>4</v>
      </c>
      <c r="E194" s="183" t="s">
        <v>89</v>
      </c>
    </row>
    <row r="195" spans="1:5" customFormat="1" ht="18.75" customHeight="1" thickBot="1" x14ac:dyDescent="0.35">
      <c r="A195" s="180"/>
      <c r="B195" s="155" t="s">
        <v>73</v>
      </c>
      <c r="C195" s="155" t="s">
        <v>74</v>
      </c>
      <c r="D195" s="182"/>
      <c r="E195" s="184"/>
    </row>
    <row r="196" spans="1:5" s="159" customFormat="1" ht="18" collapsed="1" x14ac:dyDescent="0.35">
      <c r="A196" s="160" t="s">
        <v>90</v>
      </c>
      <c r="B196" s="165">
        <f>B84</f>
        <v>16034948.450000003</v>
      </c>
      <c r="C196" s="165">
        <f>C84</f>
        <v>18119229.120000001</v>
      </c>
      <c r="D196" s="166">
        <f>SUM(B196:C196)</f>
        <v>34154177.570000008</v>
      </c>
      <c r="E196" s="158">
        <f>IF(ISERROR(D196/D189),"",D196/D189)</f>
        <v>1</v>
      </c>
    </row>
    <row r="197" spans="1:5" s="159" customFormat="1" ht="18.600000000000001" collapsed="1" thickBot="1" x14ac:dyDescent="0.4">
      <c r="A197" s="160" t="s">
        <v>91</v>
      </c>
      <c r="B197" s="165">
        <f>B171</f>
        <v>16183028.540000001</v>
      </c>
      <c r="C197" s="165">
        <f>C171</f>
        <v>18382445.16</v>
      </c>
      <c r="D197" s="166">
        <f>SUM(B197:C197)</f>
        <v>34565473.700000003</v>
      </c>
      <c r="E197" s="158">
        <f>IF(ISERROR(D197/D190),"",D197/D190)</f>
        <v>0.74864665091243443</v>
      </c>
    </row>
    <row r="198" spans="1:5" s="159" customFormat="1" ht="22.2" customHeight="1" collapsed="1" thickBot="1" x14ac:dyDescent="0.45">
      <c r="A198" s="161" t="s">
        <v>92</v>
      </c>
      <c r="B198" s="167">
        <f>SUM(B196:B197)</f>
        <v>32217976.990000002</v>
      </c>
      <c r="C198" s="167">
        <f>SUM(C196:C197)</f>
        <v>36501674.280000001</v>
      </c>
      <c r="D198" s="168">
        <f>SUM(D196:D197)</f>
        <v>68719651.270000011</v>
      </c>
      <c r="E198" s="164">
        <f>D198/D191</f>
        <v>0.85552233664619448</v>
      </c>
    </row>
    <row r="199" spans="1:5" ht="20.399999999999999" customHeight="1" x14ac:dyDescent="0.3"/>
    <row r="200" spans="1:5" s="153" customFormat="1" ht="20.399999999999999" customHeight="1" thickBot="1" x14ac:dyDescent="0.5">
      <c r="A200" s="173" t="s">
        <v>94</v>
      </c>
      <c r="B200" s="173"/>
      <c r="C200" s="173"/>
      <c r="D200" s="173"/>
      <c r="E200" s="173"/>
    </row>
    <row r="201" spans="1:5" customFormat="1" ht="24" customHeight="1" x14ac:dyDescent="0.3">
      <c r="A201" s="179" t="s">
        <v>88</v>
      </c>
      <c r="B201" s="154" t="s">
        <v>71</v>
      </c>
      <c r="C201" s="154" t="s">
        <v>72</v>
      </c>
      <c r="D201" s="181" t="s">
        <v>4</v>
      </c>
      <c r="E201" s="183" t="s">
        <v>89</v>
      </c>
    </row>
    <row r="202" spans="1:5" customFormat="1" ht="18.75" customHeight="1" thickBot="1" x14ac:dyDescent="0.35">
      <c r="A202" s="180"/>
      <c r="B202" s="155" t="s">
        <v>73</v>
      </c>
      <c r="C202" s="155" t="s">
        <v>74</v>
      </c>
      <c r="D202" s="182"/>
      <c r="E202" s="184"/>
    </row>
    <row r="203" spans="1:5" s="159" customFormat="1" ht="18" collapsed="1" x14ac:dyDescent="0.35">
      <c r="A203" s="160" t="s">
        <v>90</v>
      </c>
      <c r="B203" s="169">
        <f>B189-B196</f>
        <v>0</v>
      </c>
      <c r="C203" s="169">
        <f t="shared" ref="C203:C204" si="35">C189-C196</f>
        <v>0</v>
      </c>
      <c r="D203" s="170">
        <f>SUM(B203:C203)</f>
        <v>0</v>
      </c>
      <c r="E203" s="171">
        <f>IF(ISERROR(D203/D189),"",D203/D189)</f>
        <v>0</v>
      </c>
    </row>
    <row r="204" spans="1:5" s="159" customFormat="1" ht="18.600000000000001" collapsed="1" thickBot="1" x14ac:dyDescent="0.4">
      <c r="A204" s="160" t="s">
        <v>91</v>
      </c>
      <c r="B204" s="169">
        <f t="shared" ref="B204" si="36">B190-B197</f>
        <v>5442716.160000002</v>
      </c>
      <c r="C204" s="169">
        <f t="shared" si="35"/>
        <v>6162421.6799999997</v>
      </c>
      <c r="D204" s="170">
        <f>SUM(B204:C204)</f>
        <v>11605137.840000002</v>
      </c>
      <c r="E204" s="171">
        <f>IF(ISERROR(D204/D190),"",D204/D190)</f>
        <v>0.25135334908756551</v>
      </c>
    </row>
    <row r="205" spans="1:5" s="159" customFormat="1" ht="22.2" customHeight="1" collapsed="1" thickBot="1" x14ac:dyDescent="0.45">
      <c r="A205" s="161" t="s">
        <v>92</v>
      </c>
      <c r="B205" s="162">
        <f>SUM(B203:B204)</f>
        <v>5442716.160000002</v>
      </c>
      <c r="C205" s="162">
        <f>SUM(C203:C204)</f>
        <v>6162421.6799999997</v>
      </c>
      <c r="D205" s="163">
        <f>SUM(D203:D204)</f>
        <v>11605137.840000002</v>
      </c>
      <c r="E205" s="172">
        <f>D205/D191</f>
        <v>0.14447766335380546</v>
      </c>
    </row>
  </sheetData>
  <mergeCells count="54">
    <mergeCell ref="A27:E27"/>
    <mergeCell ref="A33:E33"/>
    <mergeCell ref="A39:E39"/>
    <mergeCell ref="A88:E88"/>
    <mergeCell ref="D92:D93"/>
    <mergeCell ref="A45:E45"/>
    <mergeCell ref="A51:E51"/>
    <mergeCell ref="A57:E57"/>
    <mergeCell ref="A89:E89"/>
    <mergeCell ref="A90:E90"/>
    <mergeCell ref="A92:A93"/>
    <mergeCell ref="E92:E93"/>
    <mergeCell ref="A63:E63"/>
    <mergeCell ref="A69:E69"/>
    <mergeCell ref="A75:E75"/>
    <mergeCell ref="A81:D81"/>
    <mergeCell ref="A1:E1"/>
    <mergeCell ref="A2:E2"/>
    <mergeCell ref="A7:E7"/>
    <mergeCell ref="A15:E15"/>
    <mergeCell ref="A21:E21"/>
    <mergeCell ref="A3:E3"/>
    <mergeCell ref="A5:A6"/>
    <mergeCell ref="E5:E6"/>
    <mergeCell ref="D5:D6"/>
    <mergeCell ref="A8:E8"/>
    <mergeCell ref="A9:E9"/>
    <mergeCell ref="A168:D168"/>
    <mergeCell ref="A174:D174"/>
    <mergeCell ref="A138:E138"/>
    <mergeCell ref="A95:E95"/>
    <mergeCell ref="A108:E108"/>
    <mergeCell ref="A102:E102"/>
    <mergeCell ref="A114:E114"/>
    <mergeCell ref="A120:E120"/>
    <mergeCell ref="A126:E126"/>
    <mergeCell ref="A132:E132"/>
    <mergeCell ref="A96:E96"/>
    <mergeCell ref="A94:E94"/>
    <mergeCell ref="A201:A202"/>
    <mergeCell ref="D201:D202"/>
    <mergeCell ref="E201:E202"/>
    <mergeCell ref="A185:E185"/>
    <mergeCell ref="A194:A195"/>
    <mergeCell ref="D194:D195"/>
    <mergeCell ref="E194:E195"/>
    <mergeCell ref="A183:E183"/>
    <mergeCell ref="A187:A188"/>
    <mergeCell ref="D187:D188"/>
    <mergeCell ref="E187:E188"/>
    <mergeCell ref="A144:E144"/>
    <mergeCell ref="A150:E150"/>
    <mergeCell ref="A156:E156"/>
    <mergeCell ref="A162:E162"/>
  </mergeCells>
  <conditionalFormatting sqref="E187:E191 E194:E198 E201:E205">
    <cfRule type="cellIs" dxfId="0" priority="3" operator="lessThan">
      <formula>0</formula>
    </cfRule>
  </conditionalFormatting>
  <printOptions horizontalCentered="1"/>
  <pageMargins left="0.19685039370078741" right="0.11811023622047245" top="0.39370078740157483" bottom="0.19685039370078741" header="0" footer="0"/>
  <pageSetup paperSize="9" scale="75" fitToHeight="3" orientation="landscape" verticalDpi="300" r:id="rId1"/>
  <rowBreaks count="2" manualBreakCount="2">
    <brk id="86" max="4" man="1"/>
    <brk id="182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O39"/>
  <sheetViews>
    <sheetView view="pageBreakPreview" zoomScale="70" zoomScaleNormal="66" zoomScaleSheetLayoutView="70" workbookViewId="0">
      <selection activeCell="B40" sqref="B40"/>
    </sheetView>
  </sheetViews>
  <sheetFormatPr defaultRowHeight="14.4" outlineLevelRow="1" x14ac:dyDescent="0.3"/>
  <cols>
    <col min="1" max="1" width="39" customWidth="1"/>
    <col min="2" max="2" width="24.109375" customWidth="1"/>
    <col min="3" max="3" width="27.44140625" customWidth="1"/>
    <col min="4" max="6" width="25" customWidth="1"/>
    <col min="7" max="7" width="21" customWidth="1"/>
    <col min="8" max="8" width="3.44140625" style="72" customWidth="1"/>
    <col min="9" max="9" width="3.6640625" customWidth="1"/>
    <col min="10" max="10" width="22.33203125" style="145" customWidth="1"/>
    <col min="11" max="11" width="12.109375" style="138" customWidth="1"/>
    <col min="12" max="12" width="30.5546875" style="60" customWidth="1"/>
    <col min="13" max="13" width="2.33203125" style="60" customWidth="1"/>
    <col min="15" max="15" width="20.88671875" style="60" bestFit="1" customWidth="1"/>
  </cols>
  <sheetData>
    <row r="1" spans="1:15" ht="55.2" customHeight="1" x14ac:dyDescent="0.3">
      <c r="A1" s="223" t="s">
        <v>83</v>
      </c>
      <c r="B1" s="223"/>
      <c r="C1" s="223"/>
      <c r="D1" s="223"/>
      <c r="E1" s="223"/>
      <c r="F1" s="223"/>
      <c r="G1" s="223"/>
      <c r="H1" s="65"/>
      <c r="I1" s="73"/>
      <c r="J1" s="143"/>
      <c r="K1" s="130"/>
      <c r="M1" s="61"/>
    </row>
    <row r="2" spans="1:15" s="21" customFormat="1" ht="25.8" x14ac:dyDescent="0.5">
      <c r="A2" s="224" t="s">
        <v>82</v>
      </c>
      <c r="B2" s="225"/>
      <c r="C2" s="225"/>
      <c r="D2" s="225"/>
      <c r="E2" s="225"/>
      <c r="F2" s="225"/>
      <c r="G2" s="225"/>
      <c r="H2" s="66"/>
      <c r="J2" s="144"/>
      <c r="K2" s="131"/>
      <c r="L2" s="132"/>
      <c r="M2" s="63"/>
      <c r="O2" s="132"/>
    </row>
    <row r="3" spans="1:15" s="21" customFormat="1" ht="25.8" x14ac:dyDescent="0.5">
      <c r="A3" s="128"/>
      <c r="B3" s="129"/>
      <c r="C3" s="129"/>
      <c r="D3" s="129"/>
      <c r="E3" s="129"/>
      <c r="F3" s="129"/>
      <c r="G3" s="137" t="str">
        <f>'ЗАГАЛЬНА ТАБЛИЦЯ'!A2</f>
        <v>станом на 30.04.2026 року</v>
      </c>
      <c r="H3" s="66"/>
      <c r="J3" s="136"/>
      <c r="K3" s="131"/>
      <c r="L3" s="132"/>
      <c r="M3" s="63"/>
      <c r="O3" s="132"/>
    </row>
    <row r="4" spans="1:15" ht="14.4" customHeight="1" thickBot="1" x14ac:dyDescent="0.35"/>
    <row r="5" spans="1:15" ht="60" thickBot="1" x14ac:dyDescent="0.35">
      <c r="A5" s="22" t="s">
        <v>0</v>
      </c>
      <c r="B5" s="23" t="s">
        <v>79</v>
      </c>
      <c r="C5" s="23" t="s">
        <v>70</v>
      </c>
      <c r="D5" s="23" t="s">
        <v>8</v>
      </c>
      <c r="E5" s="23" t="s">
        <v>75</v>
      </c>
      <c r="F5" s="23" t="s">
        <v>76</v>
      </c>
      <c r="G5" s="24" t="s">
        <v>1</v>
      </c>
      <c r="H5" s="67"/>
      <c r="J5" s="221" t="s">
        <v>38</v>
      </c>
      <c r="K5" s="228" t="s">
        <v>39</v>
      </c>
      <c r="L5" s="226" t="s">
        <v>40</v>
      </c>
      <c r="M5" s="61"/>
    </row>
    <row r="6" spans="1:15" ht="42" customHeight="1" thickBot="1" x14ac:dyDescent="0.35">
      <c r="A6" s="176" t="s">
        <v>2</v>
      </c>
      <c r="B6" s="177"/>
      <c r="C6" s="177"/>
      <c r="D6" s="177"/>
      <c r="E6" s="177"/>
      <c r="F6" s="177"/>
      <c r="G6" s="178"/>
      <c r="H6" s="68"/>
      <c r="J6" s="222"/>
      <c r="K6" s="229"/>
      <c r="L6" s="227"/>
      <c r="M6" s="61"/>
    </row>
    <row r="7" spans="1:15" ht="36" customHeight="1" thickBot="1" x14ac:dyDescent="0.45">
      <c r="A7" s="218" t="s">
        <v>24</v>
      </c>
      <c r="B7" s="219"/>
      <c r="C7" s="219"/>
      <c r="D7" s="219"/>
      <c r="E7" s="219"/>
      <c r="F7" s="219"/>
      <c r="G7" s="220"/>
      <c r="H7" s="69"/>
      <c r="J7" s="146"/>
      <c r="K7" s="139"/>
      <c r="L7" s="133"/>
      <c r="M7" s="62"/>
    </row>
    <row r="8" spans="1:15" s="20" customFormat="1" ht="35.1" hidden="1" customHeight="1" outlineLevel="1" collapsed="1" x14ac:dyDescent="0.4">
      <c r="A8" s="126" t="s">
        <v>25</v>
      </c>
      <c r="B8" s="56"/>
      <c r="C8" s="57"/>
      <c r="D8" s="57">
        <f t="shared" ref="D8:D16" si="0">ROUND(ROUND(B8*C8,2)*1.2,2)</f>
        <v>0</v>
      </c>
      <c r="E8" s="57"/>
      <c r="F8" s="49">
        <f t="shared" ref="F8" si="1">D8-E8</f>
        <v>0</v>
      </c>
      <c r="G8" s="29" t="str">
        <f t="shared" ref="G8" si="2">IF(ISERROR(E8/D8*100%),"",E8/D8*100%)</f>
        <v/>
      </c>
      <c r="H8" s="70"/>
      <c r="I8" s="64"/>
      <c r="J8" s="147"/>
      <c r="K8" s="140"/>
      <c r="L8" s="134"/>
      <c r="M8" s="62"/>
      <c r="O8" s="174"/>
    </row>
    <row r="9" spans="1:15" s="20" customFormat="1" ht="35.1" hidden="1" customHeight="1" outlineLevel="1" x14ac:dyDescent="0.4">
      <c r="A9" s="126" t="s">
        <v>26</v>
      </c>
      <c r="B9" s="56"/>
      <c r="C9" s="57"/>
      <c r="D9" s="57">
        <f t="shared" si="0"/>
        <v>0</v>
      </c>
      <c r="E9" s="57"/>
      <c r="F9" s="49">
        <f t="shared" ref="F9:F19" si="3">D9-E9</f>
        <v>0</v>
      </c>
      <c r="G9" s="29" t="str">
        <f t="shared" ref="G9:G20" si="4">IF(ISERROR(E9/D9*100%),"",E9/D9*100%)</f>
        <v/>
      </c>
      <c r="H9" s="70"/>
      <c r="I9" s="64"/>
      <c r="J9" s="147"/>
      <c r="K9" s="140"/>
      <c r="L9" s="134"/>
      <c r="M9" s="62"/>
      <c r="O9" s="174"/>
    </row>
    <row r="10" spans="1:15" s="20" customFormat="1" ht="35.1" hidden="1" customHeight="1" outlineLevel="1" x14ac:dyDescent="0.4">
      <c r="A10" s="126" t="s">
        <v>27</v>
      </c>
      <c r="B10" s="56"/>
      <c r="C10" s="57"/>
      <c r="D10" s="57">
        <f t="shared" si="0"/>
        <v>0</v>
      </c>
      <c r="E10" s="57"/>
      <c r="F10" s="49">
        <f t="shared" si="3"/>
        <v>0</v>
      </c>
      <c r="G10" s="29" t="str">
        <f t="shared" si="4"/>
        <v/>
      </c>
      <c r="H10" s="70"/>
      <c r="I10" s="64"/>
      <c r="J10" s="147"/>
      <c r="K10" s="140"/>
      <c r="L10" s="134"/>
      <c r="M10" s="62"/>
      <c r="O10" s="174"/>
    </row>
    <row r="11" spans="1:15" s="20" customFormat="1" ht="35.1" hidden="1" customHeight="1" outlineLevel="1" x14ac:dyDescent="0.4">
      <c r="A11" s="126" t="s">
        <v>28</v>
      </c>
      <c r="B11" s="56"/>
      <c r="C11" s="57"/>
      <c r="D11" s="57">
        <f t="shared" si="0"/>
        <v>0</v>
      </c>
      <c r="E11" s="57"/>
      <c r="F11" s="49">
        <f t="shared" si="3"/>
        <v>0</v>
      </c>
      <c r="G11" s="29" t="str">
        <f t="shared" si="4"/>
        <v/>
      </c>
      <c r="H11" s="70"/>
      <c r="I11" s="64"/>
      <c r="J11" s="147"/>
      <c r="K11" s="140"/>
      <c r="L11" s="134"/>
      <c r="M11" s="62"/>
      <c r="O11" s="174"/>
    </row>
    <row r="12" spans="1:15" s="20" customFormat="1" ht="35.1" hidden="1" customHeight="1" outlineLevel="1" x14ac:dyDescent="0.4">
      <c r="A12" s="126" t="s">
        <v>29</v>
      </c>
      <c r="B12" s="56"/>
      <c r="C12" s="57"/>
      <c r="D12" s="57">
        <f t="shared" si="0"/>
        <v>0</v>
      </c>
      <c r="E12" s="57"/>
      <c r="F12" s="49">
        <f t="shared" si="3"/>
        <v>0</v>
      </c>
      <c r="G12" s="29" t="str">
        <f t="shared" si="4"/>
        <v/>
      </c>
      <c r="H12" s="70"/>
      <c r="I12" s="64"/>
      <c r="J12" s="147"/>
      <c r="K12" s="140"/>
      <c r="L12" s="134"/>
      <c r="M12" s="62"/>
      <c r="O12" s="174"/>
    </row>
    <row r="13" spans="1:15" s="20" customFormat="1" ht="35.1" hidden="1" customHeight="1" outlineLevel="1" x14ac:dyDescent="0.4">
      <c r="A13" s="126" t="s">
        <v>30</v>
      </c>
      <c r="B13" s="56"/>
      <c r="C13" s="57"/>
      <c r="D13" s="57">
        <f t="shared" si="0"/>
        <v>0</v>
      </c>
      <c r="E13" s="57"/>
      <c r="F13" s="49">
        <f t="shared" si="3"/>
        <v>0</v>
      </c>
      <c r="G13" s="29" t="str">
        <f t="shared" si="4"/>
        <v/>
      </c>
      <c r="H13" s="70"/>
      <c r="I13" s="64"/>
      <c r="J13" s="147"/>
      <c r="K13" s="140"/>
      <c r="L13" s="134"/>
      <c r="M13" s="62"/>
      <c r="O13" s="174"/>
    </row>
    <row r="14" spans="1:15" s="20" customFormat="1" ht="35.1" hidden="1" customHeight="1" outlineLevel="1" x14ac:dyDescent="0.4">
      <c r="A14" s="126" t="s">
        <v>31</v>
      </c>
      <c r="B14" s="56"/>
      <c r="C14" s="57"/>
      <c r="D14" s="57">
        <f t="shared" si="0"/>
        <v>0</v>
      </c>
      <c r="E14" s="57"/>
      <c r="F14" s="49">
        <f t="shared" si="3"/>
        <v>0</v>
      </c>
      <c r="G14" s="29" t="str">
        <f t="shared" si="4"/>
        <v/>
      </c>
      <c r="H14" s="70"/>
      <c r="I14" s="64"/>
      <c r="J14" s="147"/>
      <c r="K14" s="140"/>
      <c r="L14" s="134"/>
      <c r="M14" s="62"/>
      <c r="O14" s="174"/>
    </row>
    <row r="15" spans="1:15" s="20" customFormat="1" ht="35.1" hidden="1" customHeight="1" outlineLevel="1" x14ac:dyDescent="0.4">
      <c r="A15" s="126" t="s">
        <v>32</v>
      </c>
      <c r="B15" s="56"/>
      <c r="C15" s="57"/>
      <c r="D15" s="57">
        <f t="shared" si="0"/>
        <v>0</v>
      </c>
      <c r="E15" s="49"/>
      <c r="F15" s="49">
        <f t="shared" si="3"/>
        <v>0</v>
      </c>
      <c r="G15" s="29" t="str">
        <f t="shared" si="4"/>
        <v/>
      </c>
      <c r="H15" s="70"/>
      <c r="I15" s="64"/>
      <c r="J15" s="147"/>
      <c r="K15" s="140"/>
      <c r="L15" s="134"/>
      <c r="M15" s="62"/>
      <c r="O15" s="174"/>
    </row>
    <row r="16" spans="1:15" s="20" customFormat="1" ht="35.1" customHeight="1" collapsed="1" x14ac:dyDescent="0.4">
      <c r="A16" s="126" t="s">
        <v>33</v>
      </c>
      <c r="B16" s="55">
        <v>192</v>
      </c>
      <c r="C16" s="57">
        <v>300</v>
      </c>
      <c r="D16" s="57">
        <f t="shared" si="0"/>
        <v>69120</v>
      </c>
      <c r="E16" s="49">
        <v>69120</v>
      </c>
      <c r="F16" s="49">
        <f t="shared" si="3"/>
        <v>0</v>
      </c>
      <c r="G16" s="29">
        <f t="shared" si="4"/>
        <v>1</v>
      </c>
      <c r="H16" s="70"/>
      <c r="I16" s="64"/>
      <c r="J16" s="147">
        <v>45967</v>
      </c>
      <c r="K16" s="140" t="s">
        <v>80</v>
      </c>
      <c r="L16" s="150">
        <v>69120</v>
      </c>
      <c r="M16" s="62"/>
      <c r="O16" s="174"/>
    </row>
    <row r="17" spans="1:15" s="20" customFormat="1" ht="35.1" customHeight="1" x14ac:dyDescent="0.4">
      <c r="A17" s="126" t="s">
        <v>34</v>
      </c>
      <c r="B17" s="56">
        <v>5960</v>
      </c>
      <c r="C17" s="57">
        <v>746.89</v>
      </c>
      <c r="D17" s="57">
        <f>ROUND(ROUND(B17*C17,2)*1.2,2)</f>
        <v>5341757.28</v>
      </c>
      <c r="E17" s="49">
        <v>5341757.28</v>
      </c>
      <c r="F17" s="49">
        <f t="shared" si="3"/>
        <v>0</v>
      </c>
      <c r="G17" s="29">
        <f t="shared" si="4"/>
        <v>1</v>
      </c>
      <c r="H17" s="70"/>
      <c r="I17" s="64"/>
      <c r="J17" s="147">
        <v>46010</v>
      </c>
      <c r="K17" s="140" t="s">
        <v>84</v>
      </c>
      <c r="L17" s="150">
        <v>5341757.28</v>
      </c>
      <c r="M17" s="62"/>
      <c r="O17" s="174"/>
    </row>
    <row r="18" spans="1:15" s="20" customFormat="1" ht="35.1" customHeight="1" x14ac:dyDescent="0.4">
      <c r="A18" s="126" t="s">
        <v>35</v>
      </c>
      <c r="B18" s="55">
        <v>5760</v>
      </c>
      <c r="C18" s="57">
        <v>750.04</v>
      </c>
      <c r="D18" s="57">
        <f t="shared" ref="D18:D19" si="5">ROUND(ROUND(B18*C18,2)*1.2,2)</f>
        <v>5184276.4800000004</v>
      </c>
      <c r="E18" s="49">
        <v>5184276.4800000004</v>
      </c>
      <c r="F18" s="49">
        <f t="shared" si="3"/>
        <v>0</v>
      </c>
      <c r="G18" s="29">
        <f t="shared" si="4"/>
        <v>1</v>
      </c>
      <c r="H18" s="70"/>
      <c r="I18" s="64"/>
      <c r="J18" s="147">
        <v>46022</v>
      </c>
      <c r="K18" s="140" t="s">
        <v>85</v>
      </c>
      <c r="L18" s="150">
        <v>5184276.4800000004</v>
      </c>
      <c r="M18" s="62"/>
      <c r="O18" s="174"/>
    </row>
    <row r="19" spans="1:15" s="20" customFormat="1" ht="35.1" customHeight="1" thickBot="1" x14ac:dyDescent="0.45">
      <c r="A19" s="126" t="s">
        <v>36</v>
      </c>
      <c r="B19" s="56">
        <v>5952</v>
      </c>
      <c r="C19" s="57">
        <v>761.62</v>
      </c>
      <c r="D19" s="57">
        <f t="shared" si="5"/>
        <v>5439794.6900000004</v>
      </c>
      <c r="E19" s="49">
        <v>5439794.6900000004</v>
      </c>
      <c r="F19" s="49">
        <f t="shared" si="3"/>
        <v>0</v>
      </c>
      <c r="G19" s="29">
        <f t="shared" si="4"/>
        <v>1</v>
      </c>
      <c r="H19" s="70"/>
      <c r="I19" s="64"/>
      <c r="J19" s="148">
        <v>45677</v>
      </c>
      <c r="K19" s="141" t="s">
        <v>95</v>
      </c>
      <c r="L19" s="151">
        <v>5439794.6900000004</v>
      </c>
      <c r="M19" s="62"/>
      <c r="O19" s="174"/>
    </row>
    <row r="20" spans="1:15" s="28" customFormat="1" ht="32.25" customHeight="1" thickBot="1" x14ac:dyDescent="0.5">
      <c r="A20" s="127" t="s">
        <v>37</v>
      </c>
      <c r="B20" s="25">
        <f>SUM(B8:B19)</f>
        <v>17864</v>
      </c>
      <c r="C20" s="25"/>
      <c r="D20" s="26">
        <f t="shared" ref="D20:F20" si="6">SUM(D8:D19)</f>
        <v>16034948.450000003</v>
      </c>
      <c r="E20" s="26">
        <f t="shared" si="6"/>
        <v>16034948.450000003</v>
      </c>
      <c r="F20" s="26">
        <f t="shared" si="6"/>
        <v>0</v>
      </c>
      <c r="G20" s="27">
        <f t="shared" si="4"/>
        <v>1</v>
      </c>
      <c r="H20" s="71"/>
      <c r="J20" s="149"/>
      <c r="K20" s="142"/>
      <c r="L20" s="152">
        <f>SUM(L16:L19)</f>
        <v>16034948.450000003</v>
      </c>
      <c r="M20" s="61"/>
      <c r="O20" s="175"/>
    </row>
    <row r="21" spans="1:15" ht="15" hidden="1" outlineLevel="1" thickBot="1" x14ac:dyDescent="0.35"/>
    <row r="22" spans="1:15" ht="60" hidden="1" outlineLevel="1" thickBot="1" x14ac:dyDescent="0.35">
      <c r="A22" s="22" t="s">
        <v>0</v>
      </c>
      <c r="B22" s="23" t="s">
        <v>77</v>
      </c>
      <c r="C22" s="23" t="s">
        <v>70</v>
      </c>
      <c r="D22" s="23" t="s">
        <v>8</v>
      </c>
      <c r="E22" s="23" t="s">
        <v>75</v>
      </c>
      <c r="F22" s="23" t="s">
        <v>76</v>
      </c>
      <c r="G22" s="24" t="s">
        <v>1</v>
      </c>
      <c r="H22" s="67"/>
      <c r="J22" s="221" t="s">
        <v>38</v>
      </c>
      <c r="K22" s="228" t="s">
        <v>39</v>
      </c>
      <c r="L22" s="226" t="s">
        <v>40</v>
      </c>
      <c r="M22" s="61"/>
    </row>
    <row r="23" spans="1:15" ht="42" hidden="1" customHeight="1" outlineLevel="1" thickBot="1" x14ac:dyDescent="0.35">
      <c r="A23" s="176" t="s">
        <v>2</v>
      </c>
      <c r="B23" s="177"/>
      <c r="C23" s="177"/>
      <c r="D23" s="177"/>
      <c r="E23" s="177"/>
      <c r="F23" s="177"/>
      <c r="G23" s="178"/>
      <c r="H23" s="68"/>
      <c r="J23" s="222"/>
      <c r="K23" s="229"/>
      <c r="L23" s="227"/>
      <c r="M23" s="61"/>
    </row>
    <row r="24" spans="1:15" ht="36" customHeight="1" collapsed="1" thickBot="1" x14ac:dyDescent="0.45">
      <c r="A24" s="218" t="s">
        <v>41</v>
      </c>
      <c r="B24" s="219"/>
      <c r="C24" s="219"/>
      <c r="D24" s="219"/>
      <c r="E24" s="219"/>
      <c r="F24" s="219"/>
      <c r="G24" s="220"/>
      <c r="H24" s="69"/>
      <c r="J24" s="146"/>
      <c r="K24" s="139"/>
      <c r="L24" s="133"/>
      <c r="M24" s="62"/>
    </row>
    <row r="25" spans="1:15" s="20" customFormat="1" ht="35.1" customHeight="1" x14ac:dyDescent="0.4">
      <c r="A25" s="126" t="s">
        <v>42</v>
      </c>
      <c r="B25" s="56">
        <v>5944</v>
      </c>
      <c r="C25" s="57">
        <v>775.89</v>
      </c>
      <c r="D25" s="57">
        <f t="shared" ref="D25:D33" si="7">ROUND(ROUND(B25*C25,2)*1.2,2)</f>
        <v>5534268.1900000004</v>
      </c>
      <c r="E25" s="57">
        <v>5534268.1900000004</v>
      </c>
      <c r="F25" s="49">
        <f t="shared" ref="F25:F36" si="8">D25-E25</f>
        <v>0</v>
      </c>
      <c r="G25" s="29">
        <f t="shared" ref="G25:G37" si="9">IF(ISERROR(E25/D25*100%),"",E25/D25*100%)</f>
        <v>1</v>
      </c>
      <c r="H25" s="70"/>
      <c r="I25" s="64"/>
      <c r="J25" s="147">
        <v>46072</v>
      </c>
      <c r="K25" s="140" t="s">
        <v>96</v>
      </c>
      <c r="L25" s="134">
        <v>5534268.1900000004</v>
      </c>
      <c r="M25" s="62"/>
      <c r="O25" s="174"/>
    </row>
    <row r="26" spans="1:15" s="20" customFormat="1" ht="35.1" customHeight="1" x14ac:dyDescent="0.4">
      <c r="A26" s="126" t="s">
        <v>43</v>
      </c>
      <c r="B26" s="56">
        <v>5376</v>
      </c>
      <c r="C26" s="57">
        <v>786.34</v>
      </c>
      <c r="D26" s="57">
        <f t="shared" si="7"/>
        <v>5072836.6100000003</v>
      </c>
      <c r="E26" s="57">
        <v>5072836.6100000003</v>
      </c>
      <c r="F26" s="49">
        <f t="shared" si="8"/>
        <v>0</v>
      </c>
      <c r="G26" s="29">
        <f t="shared" si="9"/>
        <v>1</v>
      </c>
      <c r="H26" s="70"/>
      <c r="I26" s="64"/>
      <c r="J26" s="147">
        <v>46101</v>
      </c>
      <c r="K26" s="140" t="s">
        <v>98</v>
      </c>
      <c r="L26" s="134">
        <v>5072836.6100000003</v>
      </c>
      <c r="M26" s="62"/>
      <c r="O26" s="174"/>
    </row>
    <row r="27" spans="1:15" s="20" customFormat="1" ht="35.1" customHeight="1" x14ac:dyDescent="0.4">
      <c r="A27" s="126" t="s">
        <v>44</v>
      </c>
      <c r="B27" s="56">
        <v>5944</v>
      </c>
      <c r="C27" s="57">
        <v>781.73</v>
      </c>
      <c r="D27" s="57">
        <f t="shared" si="7"/>
        <v>5575923.7400000002</v>
      </c>
      <c r="E27" s="57">
        <v>5575923.7400000002</v>
      </c>
      <c r="F27" s="49">
        <f t="shared" si="8"/>
        <v>0</v>
      </c>
      <c r="G27" s="29">
        <f t="shared" si="9"/>
        <v>1</v>
      </c>
      <c r="H27" s="70"/>
      <c r="I27" s="64"/>
      <c r="J27" s="147">
        <v>46133</v>
      </c>
      <c r="K27" s="140" t="s">
        <v>99</v>
      </c>
      <c r="L27" s="134">
        <v>5575923.7400000002</v>
      </c>
      <c r="M27" s="62"/>
      <c r="O27" s="174"/>
    </row>
    <row r="28" spans="1:15" s="20" customFormat="1" ht="35.1" customHeight="1" thickBot="1" x14ac:dyDescent="0.45">
      <c r="A28" s="126" t="s">
        <v>45</v>
      </c>
      <c r="B28" s="56">
        <v>5760</v>
      </c>
      <c r="C28" s="57">
        <v>787.43</v>
      </c>
      <c r="D28" s="57">
        <f t="shared" si="7"/>
        <v>5442716.1600000001</v>
      </c>
      <c r="E28" s="57">
        <v>0</v>
      </c>
      <c r="F28" s="49">
        <f t="shared" si="8"/>
        <v>5442716.1600000001</v>
      </c>
      <c r="G28" s="29">
        <f t="shared" si="9"/>
        <v>0</v>
      </c>
      <c r="H28" s="70"/>
      <c r="I28" s="64"/>
      <c r="J28" s="147"/>
      <c r="K28" s="140"/>
      <c r="L28" s="134"/>
      <c r="M28" s="62"/>
      <c r="O28" s="174"/>
    </row>
    <row r="29" spans="1:15" s="20" customFormat="1" ht="35.1" hidden="1" customHeight="1" outlineLevel="1" x14ac:dyDescent="0.4">
      <c r="A29" s="126" t="s">
        <v>46</v>
      </c>
      <c r="B29" s="56"/>
      <c r="C29" s="57"/>
      <c r="D29" s="57">
        <f t="shared" si="7"/>
        <v>0</v>
      </c>
      <c r="E29" s="57"/>
      <c r="F29" s="49">
        <f t="shared" si="8"/>
        <v>0</v>
      </c>
      <c r="G29" s="29" t="str">
        <f t="shared" si="9"/>
        <v/>
      </c>
      <c r="H29" s="70"/>
      <c r="I29" s="64"/>
      <c r="J29" s="147"/>
      <c r="K29" s="140"/>
      <c r="L29" s="134"/>
      <c r="M29" s="62"/>
      <c r="O29" s="174"/>
    </row>
    <row r="30" spans="1:15" s="20" customFormat="1" ht="35.1" hidden="1" customHeight="1" outlineLevel="1" x14ac:dyDescent="0.4">
      <c r="A30" s="126" t="s">
        <v>47</v>
      </c>
      <c r="B30" s="56"/>
      <c r="C30" s="57"/>
      <c r="D30" s="57">
        <f t="shared" si="7"/>
        <v>0</v>
      </c>
      <c r="E30" s="57"/>
      <c r="F30" s="49">
        <f t="shared" si="8"/>
        <v>0</v>
      </c>
      <c r="G30" s="29" t="str">
        <f t="shared" si="9"/>
        <v/>
      </c>
      <c r="H30" s="70"/>
      <c r="I30" s="64"/>
      <c r="J30" s="147"/>
      <c r="K30" s="140"/>
      <c r="L30" s="134"/>
      <c r="M30" s="62"/>
      <c r="O30" s="174"/>
    </row>
    <row r="31" spans="1:15" s="20" customFormat="1" ht="35.1" hidden="1" customHeight="1" outlineLevel="1" x14ac:dyDescent="0.4">
      <c r="A31" s="126" t="s">
        <v>48</v>
      </c>
      <c r="B31" s="56"/>
      <c r="C31" s="57"/>
      <c r="D31" s="57">
        <f t="shared" si="7"/>
        <v>0</v>
      </c>
      <c r="E31" s="57"/>
      <c r="F31" s="49">
        <f t="shared" si="8"/>
        <v>0</v>
      </c>
      <c r="G31" s="29" t="str">
        <f t="shared" si="9"/>
        <v/>
      </c>
      <c r="H31" s="70"/>
      <c r="I31" s="64"/>
      <c r="J31" s="147"/>
      <c r="K31" s="140"/>
      <c r="L31" s="134"/>
      <c r="M31" s="62"/>
      <c r="O31" s="174"/>
    </row>
    <row r="32" spans="1:15" s="20" customFormat="1" ht="35.1" hidden="1" customHeight="1" outlineLevel="1" x14ac:dyDescent="0.4">
      <c r="A32" s="126" t="s">
        <v>49</v>
      </c>
      <c r="B32" s="56"/>
      <c r="C32" s="49"/>
      <c r="D32" s="57">
        <f t="shared" si="7"/>
        <v>0</v>
      </c>
      <c r="E32" s="49"/>
      <c r="F32" s="49">
        <f t="shared" si="8"/>
        <v>0</v>
      </c>
      <c r="G32" s="29" t="str">
        <f t="shared" si="9"/>
        <v/>
      </c>
      <c r="H32" s="70"/>
      <c r="I32" s="64"/>
      <c r="J32" s="147"/>
      <c r="K32" s="140"/>
      <c r="L32" s="134"/>
      <c r="M32" s="62"/>
      <c r="O32" s="174"/>
    </row>
    <row r="33" spans="1:15" s="20" customFormat="1" ht="35.1" hidden="1" customHeight="1" outlineLevel="1" x14ac:dyDescent="0.4">
      <c r="A33" s="126" t="s">
        <v>50</v>
      </c>
      <c r="B33" s="56"/>
      <c r="C33" s="49"/>
      <c r="D33" s="57">
        <f t="shared" si="7"/>
        <v>0</v>
      </c>
      <c r="E33" s="49"/>
      <c r="F33" s="49">
        <f t="shared" si="8"/>
        <v>0</v>
      </c>
      <c r="G33" s="29" t="str">
        <f t="shared" si="9"/>
        <v/>
      </c>
      <c r="H33" s="70"/>
      <c r="I33" s="64"/>
      <c r="J33" s="147"/>
      <c r="K33" s="140"/>
      <c r="L33" s="134"/>
      <c r="M33" s="62"/>
      <c r="O33" s="174"/>
    </row>
    <row r="34" spans="1:15" s="20" customFormat="1" ht="35.1" hidden="1" customHeight="1" outlineLevel="1" x14ac:dyDescent="0.4">
      <c r="A34" s="126" t="s">
        <v>51</v>
      </c>
      <c r="B34" s="56"/>
      <c r="C34" s="57"/>
      <c r="D34" s="57">
        <f>ROUND(ROUND(B34*C34,2)*1.2,2)</f>
        <v>0</v>
      </c>
      <c r="E34" s="49"/>
      <c r="F34" s="49">
        <f t="shared" si="8"/>
        <v>0</v>
      </c>
      <c r="G34" s="29" t="str">
        <f t="shared" si="9"/>
        <v/>
      </c>
      <c r="H34" s="70"/>
      <c r="I34" s="64"/>
      <c r="J34" s="147"/>
      <c r="K34" s="140"/>
      <c r="L34" s="134"/>
      <c r="M34" s="62"/>
      <c r="O34" s="174"/>
    </row>
    <row r="35" spans="1:15" s="20" customFormat="1" ht="35.1" hidden="1" customHeight="1" outlineLevel="1" x14ac:dyDescent="0.4">
      <c r="A35" s="126" t="s">
        <v>52</v>
      </c>
      <c r="B35" s="56"/>
      <c r="C35" s="57"/>
      <c r="D35" s="57">
        <f t="shared" ref="D35:D36" si="10">ROUND(ROUND(B35*C35,2)*1.2,2)</f>
        <v>0</v>
      </c>
      <c r="E35" s="49"/>
      <c r="F35" s="49">
        <f t="shared" si="8"/>
        <v>0</v>
      </c>
      <c r="G35" s="29" t="str">
        <f t="shared" si="9"/>
        <v/>
      </c>
      <c r="H35" s="70"/>
      <c r="I35" s="64"/>
      <c r="J35" s="147"/>
      <c r="K35" s="140"/>
      <c r="L35" s="134"/>
      <c r="M35" s="62"/>
      <c r="O35" s="174"/>
    </row>
    <row r="36" spans="1:15" s="20" customFormat="1" ht="35.1" hidden="1" customHeight="1" outlineLevel="1" thickBot="1" x14ac:dyDescent="0.45">
      <c r="A36" s="126" t="s">
        <v>53</v>
      </c>
      <c r="B36" s="56"/>
      <c r="C36" s="57"/>
      <c r="D36" s="57">
        <f t="shared" si="10"/>
        <v>0</v>
      </c>
      <c r="E36" s="49"/>
      <c r="F36" s="49">
        <f t="shared" si="8"/>
        <v>0</v>
      </c>
      <c r="G36" s="29" t="str">
        <f t="shared" si="9"/>
        <v/>
      </c>
      <c r="H36" s="70"/>
      <c r="I36" s="64"/>
      <c r="J36" s="148"/>
      <c r="K36" s="141"/>
      <c r="L36" s="135"/>
      <c r="M36" s="62"/>
      <c r="O36" s="174"/>
    </row>
    <row r="37" spans="1:15" s="28" customFormat="1" ht="32.25" customHeight="1" collapsed="1" thickBot="1" x14ac:dyDescent="0.5">
      <c r="A37" s="127" t="s">
        <v>54</v>
      </c>
      <c r="B37" s="25">
        <f>SUM(B25:B36)</f>
        <v>23024</v>
      </c>
      <c r="C37" s="25"/>
      <c r="D37" s="26">
        <f>SUM(D25:D36)</f>
        <v>21625744.700000003</v>
      </c>
      <c r="E37" s="26">
        <f>SUM(E25:E36)</f>
        <v>16183028.540000001</v>
      </c>
      <c r="F37" s="26">
        <f>SUM(F25:F36)</f>
        <v>5442716.1600000001</v>
      </c>
      <c r="G37" s="27">
        <f t="shared" si="9"/>
        <v>0.74832237060488371</v>
      </c>
      <c r="H37" s="71"/>
      <c r="J37" s="149"/>
      <c r="K37" s="142"/>
      <c r="L37" s="59">
        <f>SUM(L25:L36)</f>
        <v>16183028.540000001</v>
      </c>
      <c r="M37" s="61"/>
      <c r="O37" s="175"/>
    </row>
    <row r="38" spans="1:15" hidden="1" outlineLevel="1" x14ac:dyDescent="0.3"/>
    <row r="39" spans="1:15" collapsed="1" x14ac:dyDescent="0.3"/>
  </sheetData>
  <mergeCells count="12">
    <mergeCell ref="A24:G24"/>
    <mergeCell ref="J22:J23"/>
    <mergeCell ref="A1:G1"/>
    <mergeCell ref="A2:G2"/>
    <mergeCell ref="L22:L23"/>
    <mergeCell ref="J5:J6"/>
    <mergeCell ref="L5:L6"/>
    <mergeCell ref="A7:G7"/>
    <mergeCell ref="A6:G6"/>
    <mergeCell ref="K5:K6"/>
    <mergeCell ref="K22:K23"/>
    <mergeCell ref="A23:G23"/>
  </mergeCells>
  <printOptions horizontalCentered="1"/>
  <pageMargins left="0.19685039370078741" right="0.19685039370078741" top="0.39370078740157483" bottom="0.19685039370078741" header="0" footer="0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O39"/>
  <sheetViews>
    <sheetView view="pageBreakPreview" zoomScale="70" zoomScaleNormal="66" zoomScaleSheetLayoutView="70" workbookViewId="0">
      <selection activeCell="B41" sqref="B41"/>
    </sheetView>
  </sheetViews>
  <sheetFormatPr defaultRowHeight="14.4" outlineLevelRow="1" x14ac:dyDescent="0.3"/>
  <cols>
    <col min="1" max="1" width="39" customWidth="1"/>
    <col min="2" max="2" width="24.109375" customWidth="1"/>
    <col min="3" max="3" width="27.44140625" customWidth="1"/>
    <col min="4" max="6" width="25" customWidth="1"/>
    <col min="7" max="7" width="21" customWidth="1"/>
    <col min="8" max="8" width="3.44140625" style="72" customWidth="1"/>
    <col min="9" max="9" width="3.6640625" customWidth="1"/>
    <col min="10" max="10" width="22.33203125" style="145" customWidth="1"/>
    <col min="11" max="11" width="12.109375" style="138" customWidth="1"/>
    <col min="12" max="12" width="30.5546875" style="60" customWidth="1"/>
    <col min="13" max="13" width="2.33203125" style="60" customWidth="1"/>
    <col min="15" max="15" width="21.5546875" bestFit="1" customWidth="1"/>
  </cols>
  <sheetData>
    <row r="1" spans="1:13" ht="55.2" customHeight="1" x14ac:dyDescent="0.3">
      <c r="A1" s="223" t="s">
        <v>83</v>
      </c>
      <c r="B1" s="223"/>
      <c r="C1" s="223"/>
      <c r="D1" s="223"/>
      <c r="E1" s="223"/>
      <c r="F1" s="223"/>
      <c r="G1" s="223"/>
      <c r="H1" s="65"/>
      <c r="I1" s="73"/>
      <c r="J1" s="143"/>
      <c r="K1" s="130"/>
      <c r="M1" s="61"/>
    </row>
    <row r="2" spans="1:13" s="21" customFormat="1" ht="25.8" x14ac:dyDescent="0.5">
      <c r="A2" s="224" t="s">
        <v>81</v>
      </c>
      <c r="B2" s="225"/>
      <c r="C2" s="225"/>
      <c r="D2" s="225"/>
      <c r="E2" s="225"/>
      <c r="F2" s="225"/>
      <c r="G2" s="225"/>
      <c r="H2" s="66"/>
      <c r="J2" s="144"/>
      <c r="K2" s="131"/>
      <c r="L2" s="132"/>
      <c r="M2" s="63"/>
    </row>
    <row r="3" spans="1:13" s="21" customFormat="1" ht="25.8" x14ac:dyDescent="0.5">
      <c r="A3" s="128"/>
      <c r="B3" s="129"/>
      <c r="C3" s="129"/>
      <c r="D3" s="129"/>
      <c r="E3" s="129"/>
      <c r="F3" s="129"/>
      <c r="G3" s="137" t="str">
        <f>'ЗАГАЛЬНА ТАБЛИЦЯ'!A2</f>
        <v>станом на 30.04.2026 року</v>
      </c>
      <c r="H3" s="66"/>
      <c r="J3" s="136"/>
      <c r="K3" s="131"/>
      <c r="L3" s="132"/>
      <c r="M3" s="63"/>
    </row>
    <row r="4" spans="1:13" ht="14.4" customHeight="1" thickBot="1" x14ac:dyDescent="0.35"/>
    <row r="5" spans="1:13" ht="60" thickBot="1" x14ac:dyDescent="0.35">
      <c r="A5" s="22" t="s">
        <v>0</v>
      </c>
      <c r="B5" s="23" t="s">
        <v>79</v>
      </c>
      <c r="C5" s="23" t="s">
        <v>70</v>
      </c>
      <c r="D5" s="23" t="s">
        <v>8</v>
      </c>
      <c r="E5" s="23" t="s">
        <v>75</v>
      </c>
      <c r="F5" s="23" t="s">
        <v>76</v>
      </c>
      <c r="G5" s="24" t="s">
        <v>1</v>
      </c>
      <c r="H5" s="67"/>
      <c r="J5" s="221" t="s">
        <v>38</v>
      </c>
      <c r="K5" s="228" t="s">
        <v>39</v>
      </c>
      <c r="L5" s="226" t="s">
        <v>40</v>
      </c>
      <c r="M5" s="61"/>
    </row>
    <row r="6" spans="1:13" ht="42" customHeight="1" thickBot="1" x14ac:dyDescent="0.35">
      <c r="A6" s="176" t="s">
        <v>2</v>
      </c>
      <c r="B6" s="177"/>
      <c r="C6" s="177"/>
      <c r="D6" s="177"/>
      <c r="E6" s="177"/>
      <c r="F6" s="177"/>
      <c r="G6" s="178"/>
      <c r="H6" s="68"/>
      <c r="J6" s="222"/>
      <c r="K6" s="229"/>
      <c r="L6" s="227"/>
      <c r="M6" s="61"/>
    </row>
    <row r="7" spans="1:13" ht="36" customHeight="1" thickBot="1" x14ac:dyDescent="0.45">
      <c r="A7" s="218" t="s">
        <v>24</v>
      </c>
      <c r="B7" s="219"/>
      <c r="C7" s="219"/>
      <c r="D7" s="219"/>
      <c r="E7" s="219"/>
      <c r="F7" s="219"/>
      <c r="G7" s="220"/>
      <c r="H7" s="69"/>
      <c r="J7" s="146"/>
      <c r="K7" s="139"/>
      <c r="L7" s="133"/>
      <c r="M7" s="62"/>
    </row>
    <row r="8" spans="1:13" s="20" customFormat="1" ht="35.1" hidden="1" customHeight="1" outlineLevel="1" collapsed="1" x14ac:dyDescent="0.4">
      <c r="A8" s="126" t="s">
        <v>25</v>
      </c>
      <c r="B8" s="56"/>
      <c r="C8" s="57"/>
      <c r="D8" s="57">
        <f t="shared" ref="D8:D16" si="0">ROUND(ROUND(B8*C8,2)*1.2,2)</f>
        <v>0</v>
      </c>
      <c r="E8" s="57"/>
      <c r="F8" s="49">
        <f t="shared" ref="F8" si="1">D8-E8</f>
        <v>0</v>
      </c>
      <c r="G8" s="29" t="str">
        <f t="shared" ref="G8" si="2">IF(ISERROR(E8/D8*100%),"",E8/D8*100%)</f>
        <v/>
      </c>
      <c r="H8" s="70"/>
      <c r="I8" s="64"/>
      <c r="J8" s="147"/>
      <c r="K8" s="140"/>
      <c r="L8" s="134"/>
      <c r="M8" s="62"/>
    </row>
    <row r="9" spans="1:13" s="20" customFormat="1" ht="35.1" hidden="1" customHeight="1" outlineLevel="1" x14ac:dyDescent="0.4">
      <c r="A9" s="126" t="s">
        <v>26</v>
      </c>
      <c r="B9" s="56"/>
      <c r="C9" s="57"/>
      <c r="D9" s="57">
        <f t="shared" si="0"/>
        <v>0</v>
      </c>
      <c r="E9" s="57"/>
      <c r="F9" s="49">
        <f t="shared" ref="F9:F19" si="3">D9-E9</f>
        <v>0</v>
      </c>
      <c r="G9" s="29" t="str">
        <f t="shared" ref="G9:G20" si="4">IF(ISERROR(E9/D9*100%),"",E9/D9*100%)</f>
        <v/>
      </c>
      <c r="H9" s="70"/>
      <c r="I9" s="64"/>
      <c r="J9" s="147"/>
      <c r="K9" s="140"/>
      <c r="L9" s="134"/>
      <c r="M9" s="62"/>
    </row>
    <row r="10" spans="1:13" s="20" customFormat="1" ht="35.1" hidden="1" customHeight="1" outlineLevel="1" x14ac:dyDescent="0.4">
      <c r="A10" s="126" t="s">
        <v>27</v>
      </c>
      <c r="B10" s="56"/>
      <c r="C10" s="57"/>
      <c r="D10" s="57">
        <f t="shared" si="0"/>
        <v>0</v>
      </c>
      <c r="E10" s="57"/>
      <c r="F10" s="49">
        <f t="shared" si="3"/>
        <v>0</v>
      </c>
      <c r="G10" s="29" t="str">
        <f t="shared" si="4"/>
        <v/>
      </c>
      <c r="H10" s="70"/>
      <c r="I10" s="64"/>
      <c r="J10" s="147"/>
      <c r="K10" s="140"/>
      <c r="L10" s="134"/>
      <c r="M10" s="62"/>
    </row>
    <row r="11" spans="1:13" s="20" customFormat="1" ht="35.1" hidden="1" customHeight="1" outlineLevel="1" x14ac:dyDescent="0.4">
      <c r="A11" s="126" t="s">
        <v>28</v>
      </c>
      <c r="B11" s="56"/>
      <c r="C11" s="57"/>
      <c r="D11" s="57">
        <f t="shared" si="0"/>
        <v>0</v>
      </c>
      <c r="E11" s="57"/>
      <c r="F11" s="49">
        <f t="shared" si="3"/>
        <v>0</v>
      </c>
      <c r="G11" s="29" t="str">
        <f t="shared" si="4"/>
        <v/>
      </c>
      <c r="H11" s="70"/>
      <c r="I11" s="64"/>
      <c r="J11" s="147"/>
      <c r="K11" s="140"/>
      <c r="L11" s="134"/>
      <c r="M11" s="62"/>
    </row>
    <row r="12" spans="1:13" s="20" customFormat="1" ht="35.1" hidden="1" customHeight="1" outlineLevel="1" x14ac:dyDescent="0.4">
      <c r="A12" s="126" t="s">
        <v>29</v>
      </c>
      <c r="B12" s="56"/>
      <c r="C12" s="57"/>
      <c r="D12" s="57">
        <f t="shared" si="0"/>
        <v>0</v>
      </c>
      <c r="E12" s="57"/>
      <c r="F12" s="49">
        <f t="shared" si="3"/>
        <v>0</v>
      </c>
      <c r="G12" s="29" t="str">
        <f t="shared" si="4"/>
        <v/>
      </c>
      <c r="H12" s="70"/>
      <c r="I12" s="64"/>
      <c r="J12" s="147"/>
      <c r="K12" s="140"/>
      <c r="L12" s="134"/>
      <c r="M12" s="62"/>
    </row>
    <row r="13" spans="1:13" s="20" customFormat="1" ht="35.1" hidden="1" customHeight="1" outlineLevel="1" x14ac:dyDescent="0.4">
      <c r="A13" s="126" t="s">
        <v>30</v>
      </c>
      <c r="B13" s="56"/>
      <c r="C13" s="57"/>
      <c r="D13" s="57">
        <f t="shared" si="0"/>
        <v>0</v>
      </c>
      <c r="E13" s="57"/>
      <c r="F13" s="49">
        <f t="shared" si="3"/>
        <v>0</v>
      </c>
      <c r="G13" s="29" t="str">
        <f t="shared" si="4"/>
        <v/>
      </c>
      <c r="H13" s="70"/>
      <c r="I13" s="64"/>
      <c r="J13" s="147"/>
      <c r="K13" s="140"/>
      <c r="L13" s="134"/>
      <c r="M13" s="62"/>
    </row>
    <row r="14" spans="1:13" s="20" customFormat="1" ht="35.1" hidden="1" customHeight="1" outlineLevel="1" x14ac:dyDescent="0.4">
      <c r="A14" s="126" t="s">
        <v>31</v>
      </c>
      <c r="B14" s="56"/>
      <c r="C14" s="57"/>
      <c r="D14" s="57">
        <f t="shared" si="0"/>
        <v>0</v>
      </c>
      <c r="E14" s="57"/>
      <c r="F14" s="49">
        <f t="shared" si="3"/>
        <v>0</v>
      </c>
      <c r="G14" s="29" t="str">
        <f t="shared" si="4"/>
        <v/>
      </c>
      <c r="H14" s="70"/>
      <c r="I14" s="64"/>
      <c r="J14" s="147"/>
      <c r="K14" s="140"/>
      <c r="L14" s="134"/>
      <c r="M14" s="62"/>
    </row>
    <row r="15" spans="1:13" s="20" customFormat="1" ht="35.1" hidden="1" customHeight="1" outlineLevel="1" x14ac:dyDescent="0.4">
      <c r="A15" s="126" t="s">
        <v>32</v>
      </c>
      <c r="B15" s="56"/>
      <c r="C15" s="57"/>
      <c r="D15" s="57">
        <f t="shared" si="0"/>
        <v>0</v>
      </c>
      <c r="E15" s="49"/>
      <c r="F15" s="49">
        <f t="shared" si="3"/>
        <v>0</v>
      </c>
      <c r="G15" s="29" t="str">
        <f t="shared" si="4"/>
        <v/>
      </c>
      <c r="H15" s="70"/>
      <c r="I15" s="64"/>
      <c r="J15" s="147"/>
      <c r="K15" s="140"/>
      <c r="L15" s="134"/>
      <c r="M15" s="62"/>
    </row>
    <row r="16" spans="1:13" s="20" customFormat="1" ht="35.1" customHeight="1" collapsed="1" x14ac:dyDescent="0.4">
      <c r="A16" s="126" t="s">
        <v>33</v>
      </c>
      <c r="B16" s="55">
        <v>0</v>
      </c>
      <c r="C16" s="57">
        <v>0</v>
      </c>
      <c r="D16" s="57">
        <f t="shared" si="0"/>
        <v>0</v>
      </c>
      <c r="E16" s="49">
        <v>0</v>
      </c>
      <c r="F16" s="49">
        <f t="shared" si="3"/>
        <v>0</v>
      </c>
      <c r="G16" s="29" t="str">
        <f t="shared" si="4"/>
        <v/>
      </c>
      <c r="H16" s="70"/>
      <c r="I16" s="64"/>
      <c r="J16" s="147">
        <v>46016</v>
      </c>
      <c r="K16" s="140" t="s">
        <v>84</v>
      </c>
      <c r="L16" s="150">
        <v>6056755.2000000002</v>
      </c>
      <c r="M16" s="62"/>
    </row>
    <row r="17" spans="1:15" s="20" customFormat="1" ht="35.1" customHeight="1" x14ac:dyDescent="0.4">
      <c r="A17" s="126" t="s">
        <v>34</v>
      </c>
      <c r="B17" s="56">
        <v>7440</v>
      </c>
      <c r="C17" s="57">
        <v>678.4</v>
      </c>
      <c r="D17" s="57">
        <f>ROUND(ROUND(B17*C17,2)*1.2,2)</f>
        <v>6056755.2000000002</v>
      </c>
      <c r="E17" s="49">
        <v>6056755.2000000002</v>
      </c>
      <c r="F17" s="49">
        <f t="shared" si="3"/>
        <v>0</v>
      </c>
      <c r="G17" s="29">
        <f t="shared" si="4"/>
        <v>1</v>
      </c>
      <c r="H17" s="70"/>
      <c r="I17" s="64"/>
      <c r="J17" s="147">
        <v>46022</v>
      </c>
      <c r="K17" s="140" t="s">
        <v>85</v>
      </c>
      <c r="L17" s="150">
        <v>5886172.7999999998</v>
      </c>
      <c r="M17" s="62"/>
    </row>
    <row r="18" spans="1:15" s="20" customFormat="1" ht="35.1" customHeight="1" x14ac:dyDescent="0.4">
      <c r="A18" s="126" t="s">
        <v>35</v>
      </c>
      <c r="B18" s="55">
        <v>7200</v>
      </c>
      <c r="C18" s="57">
        <v>681.27</v>
      </c>
      <c r="D18" s="57">
        <f t="shared" ref="D18:D19" si="5">ROUND(ROUND(B18*C18,2)*1.2,2)</f>
        <v>5886172.7999999998</v>
      </c>
      <c r="E18" s="49">
        <v>5886172.7999999998</v>
      </c>
      <c r="F18" s="49">
        <f t="shared" si="3"/>
        <v>0</v>
      </c>
      <c r="G18" s="29">
        <f t="shared" si="4"/>
        <v>1</v>
      </c>
      <c r="H18" s="70"/>
      <c r="I18" s="64"/>
      <c r="J18" s="147">
        <v>45677</v>
      </c>
      <c r="K18" s="140" t="s">
        <v>95</v>
      </c>
      <c r="L18" s="150">
        <v>6176301.1200000001</v>
      </c>
      <c r="M18" s="62"/>
    </row>
    <row r="19" spans="1:15" s="20" customFormat="1" ht="35.1" customHeight="1" thickBot="1" x14ac:dyDescent="0.45">
      <c r="A19" s="126" t="s">
        <v>36</v>
      </c>
      <c r="B19" s="56">
        <v>7440</v>
      </c>
      <c r="C19" s="57">
        <v>691.79</v>
      </c>
      <c r="D19" s="57">
        <f t="shared" si="5"/>
        <v>6176301.1200000001</v>
      </c>
      <c r="E19" s="49">
        <v>6176301.1200000001</v>
      </c>
      <c r="F19" s="49">
        <f t="shared" si="3"/>
        <v>0</v>
      </c>
      <c r="G19" s="29">
        <f t="shared" si="4"/>
        <v>1</v>
      </c>
      <c r="H19" s="70"/>
      <c r="I19" s="64"/>
      <c r="J19" s="148"/>
      <c r="K19" s="141"/>
      <c r="L19" s="151"/>
      <c r="M19" s="62"/>
      <c r="O19" s="174"/>
    </row>
    <row r="20" spans="1:15" s="28" customFormat="1" ht="32.25" customHeight="1" thickBot="1" x14ac:dyDescent="0.5">
      <c r="A20" s="127" t="s">
        <v>37</v>
      </c>
      <c r="B20" s="25">
        <f>SUM(B8:B19)</f>
        <v>22080</v>
      </c>
      <c r="C20" s="25"/>
      <c r="D20" s="26">
        <f t="shared" ref="D20:F20" si="6">SUM(D8:D19)</f>
        <v>18119229.120000001</v>
      </c>
      <c r="E20" s="26">
        <f t="shared" si="6"/>
        <v>18119229.120000001</v>
      </c>
      <c r="F20" s="26">
        <f t="shared" si="6"/>
        <v>0</v>
      </c>
      <c r="G20" s="27">
        <f t="shared" si="4"/>
        <v>1</v>
      </c>
      <c r="H20" s="71"/>
      <c r="J20" s="149"/>
      <c r="K20" s="142"/>
      <c r="L20" s="152">
        <f>SUM(L16:L19)</f>
        <v>18119229.120000001</v>
      </c>
      <c r="M20" s="61"/>
      <c r="O20" s="175"/>
    </row>
    <row r="21" spans="1:15" ht="15" hidden="1" outlineLevel="1" thickBot="1" x14ac:dyDescent="0.35"/>
    <row r="22" spans="1:15" ht="60" hidden="1" outlineLevel="1" thickBot="1" x14ac:dyDescent="0.35">
      <c r="A22" s="22" t="s">
        <v>0</v>
      </c>
      <c r="B22" s="23" t="s">
        <v>77</v>
      </c>
      <c r="C22" s="23" t="s">
        <v>70</v>
      </c>
      <c r="D22" s="23" t="s">
        <v>8</v>
      </c>
      <c r="E22" s="23" t="s">
        <v>75</v>
      </c>
      <c r="F22" s="23" t="s">
        <v>76</v>
      </c>
      <c r="G22" s="24" t="s">
        <v>1</v>
      </c>
      <c r="H22" s="67"/>
      <c r="J22" s="221" t="s">
        <v>38</v>
      </c>
      <c r="K22" s="228" t="s">
        <v>39</v>
      </c>
      <c r="L22" s="226" t="s">
        <v>40</v>
      </c>
      <c r="M22" s="61"/>
    </row>
    <row r="23" spans="1:15" ht="42" hidden="1" customHeight="1" outlineLevel="1" thickBot="1" x14ac:dyDescent="0.35">
      <c r="A23" s="176" t="s">
        <v>2</v>
      </c>
      <c r="B23" s="177"/>
      <c r="C23" s="177"/>
      <c r="D23" s="177"/>
      <c r="E23" s="177"/>
      <c r="F23" s="177"/>
      <c r="G23" s="178"/>
      <c r="H23" s="68"/>
      <c r="J23" s="222"/>
      <c r="K23" s="229"/>
      <c r="L23" s="227"/>
      <c r="M23" s="61"/>
    </row>
    <row r="24" spans="1:15" ht="36" customHeight="1" collapsed="1" thickBot="1" x14ac:dyDescent="0.45">
      <c r="A24" s="218" t="s">
        <v>41</v>
      </c>
      <c r="B24" s="219"/>
      <c r="C24" s="219"/>
      <c r="D24" s="219"/>
      <c r="E24" s="219"/>
      <c r="F24" s="219"/>
      <c r="G24" s="220"/>
      <c r="H24" s="69"/>
      <c r="J24" s="146"/>
      <c r="K24" s="139"/>
      <c r="L24" s="133"/>
      <c r="M24" s="62"/>
    </row>
    <row r="25" spans="1:15" s="20" customFormat="1" ht="35.1" customHeight="1" x14ac:dyDescent="0.4">
      <c r="A25" s="126" t="s">
        <v>42</v>
      </c>
      <c r="B25" s="56">
        <v>7440</v>
      </c>
      <c r="C25" s="57">
        <v>704.75</v>
      </c>
      <c r="D25" s="57">
        <f t="shared" ref="D25:D33" si="7">ROUND(ROUND(B25*C25,2)*1.2,2)</f>
        <v>6292008</v>
      </c>
      <c r="E25" s="57">
        <v>6292008</v>
      </c>
      <c r="F25" s="49">
        <f t="shared" ref="F25:F36" si="8">D25-E25</f>
        <v>0</v>
      </c>
      <c r="G25" s="29">
        <f t="shared" ref="G25:G37" si="9">IF(ISERROR(E25/D25*100%),"",E25/D25*100%)</f>
        <v>1</v>
      </c>
      <c r="H25" s="70"/>
      <c r="I25" s="64"/>
      <c r="J25" s="147">
        <v>46072</v>
      </c>
      <c r="K25" s="140" t="s">
        <v>96</v>
      </c>
      <c r="L25" s="134">
        <v>6292008</v>
      </c>
      <c r="M25" s="62"/>
    </row>
    <row r="26" spans="1:15" s="20" customFormat="1" ht="35.1" customHeight="1" x14ac:dyDescent="0.45">
      <c r="A26" s="126" t="s">
        <v>43</v>
      </c>
      <c r="B26" s="56">
        <v>6720</v>
      </c>
      <c r="C26" s="57">
        <v>714.24</v>
      </c>
      <c r="D26" s="57">
        <f t="shared" si="7"/>
        <v>5759631.3600000003</v>
      </c>
      <c r="E26" s="57">
        <v>5759631.3600000003</v>
      </c>
      <c r="F26" s="49">
        <f t="shared" si="8"/>
        <v>0</v>
      </c>
      <c r="G26" s="29">
        <f t="shared" si="9"/>
        <v>1</v>
      </c>
      <c r="H26" s="70"/>
      <c r="I26" s="64"/>
      <c r="J26" s="147">
        <v>46101</v>
      </c>
      <c r="K26" s="140" t="s">
        <v>98</v>
      </c>
      <c r="L26" s="134">
        <v>5759631.3600000003</v>
      </c>
      <c r="M26" s="62"/>
      <c r="O26" s="175"/>
    </row>
    <row r="27" spans="1:15" s="20" customFormat="1" ht="35.1" customHeight="1" x14ac:dyDescent="0.4">
      <c r="A27" s="126" t="s">
        <v>44</v>
      </c>
      <c r="B27" s="56">
        <v>7430</v>
      </c>
      <c r="C27" s="57">
        <v>710.05</v>
      </c>
      <c r="D27" s="57">
        <f t="shared" si="7"/>
        <v>6330805.7999999998</v>
      </c>
      <c r="E27" s="57">
        <v>6330805.7999999998</v>
      </c>
      <c r="F27" s="49">
        <f t="shared" si="8"/>
        <v>0</v>
      </c>
      <c r="G27" s="29">
        <f t="shared" si="9"/>
        <v>1</v>
      </c>
      <c r="H27" s="70"/>
      <c r="I27" s="64"/>
      <c r="J27" s="147">
        <v>46133</v>
      </c>
      <c r="K27" s="140" t="s">
        <v>99</v>
      </c>
      <c r="L27" s="134">
        <v>6330805.7999999998</v>
      </c>
      <c r="M27" s="62"/>
    </row>
    <row r="28" spans="1:15" s="20" customFormat="1" ht="35.1" customHeight="1" thickBot="1" x14ac:dyDescent="0.45">
      <c r="A28" s="126" t="s">
        <v>45</v>
      </c>
      <c r="B28" s="56">
        <v>7180</v>
      </c>
      <c r="C28" s="57">
        <v>715.23</v>
      </c>
      <c r="D28" s="57">
        <f t="shared" si="7"/>
        <v>6162421.6799999997</v>
      </c>
      <c r="E28" s="57">
        <v>0</v>
      </c>
      <c r="F28" s="49">
        <f t="shared" si="8"/>
        <v>6162421.6799999997</v>
      </c>
      <c r="G28" s="29">
        <f t="shared" si="9"/>
        <v>0</v>
      </c>
      <c r="H28" s="70"/>
      <c r="I28" s="64"/>
      <c r="J28" s="147"/>
      <c r="K28" s="140"/>
      <c r="L28" s="134"/>
      <c r="M28" s="62"/>
    </row>
    <row r="29" spans="1:15" s="20" customFormat="1" ht="35.1" hidden="1" customHeight="1" outlineLevel="1" x14ac:dyDescent="0.4">
      <c r="A29" s="126" t="s">
        <v>46</v>
      </c>
      <c r="B29" s="56"/>
      <c r="C29" s="57"/>
      <c r="D29" s="57">
        <f t="shared" si="7"/>
        <v>0</v>
      </c>
      <c r="E29" s="57"/>
      <c r="F29" s="49">
        <f t="shared" si="8"/>
        <v>0</v>
      </c>
      <c r="G29" s="29" t="str">
        <f t="shared" si="9"/>
        <v/>
      </c>
      <c r="H29" s="70"/>
      <c r="I29" s="64"/>
      <c r="J29" s="147"/>
      <c r="K29" s="140"/>
      <c r="L29" s="134"/>
      <c r="M29" s="62"/>
    </row>
    <row r="30" spans="1:15" s="20" customFormat="1" ht="35.1" hidden="1" customHeight="1" outlineLevel="1" x14ac:dyDescent="0.4">
      <c r="A30" s="126" t="s">
        <v>47</v>
      </c>
      <c r="B30" s="56"/>
      <c r="C30" s="57"/>
      <c r="D30" s="57">
        <f t="shared" si="7"/>
        <v>0</v>
      </c>
      <c r="E30" s="57"/>
      <c r="F30" s="49">
        <f t="shared" si="8"/>
        <v>0</v>
      </c>
      <c r="G30" s="29" t="str">
        <f t="shared" si="9"/>
        <v/>
      </c>
      <c r="H30" s="70"/>
      <c r="I30" s="64"/>
      <c r="J30" s="147"/>
      <c r="K30" s="140"/>
      <c r="L30" s="134"/>
      <c r="M30" s="62"/>
    </row>
    <row r="31" spans="1:15" s="20" customFormat="1" ht="35.1" hidden="1" customHeight="1" outlineLevel="1" x14ac:dyDescent="0.4">
      <c r="A31" s="126" t="s">
        <v>48</v>
      </c>
      <c r="B31" s="56"/>
      <c r="C31" s="57"/>
      <c r="D31" s="57">
        <f t="shared" si="7"/>
        <v>0</v>
      </c>
      <c r="E31" s="57"/>
      <c r="F31" s="49">
        <f t="shared" si="8"/>
        <v>0</v>
      </c>
      <c r="G31" s="29" t="str">
        <f t="shared" si="9"/>
        <v/>
      </c>
      <c r="H31" s="70"/>
      <c r="I31" s="64"/>
      <c r="J31" s="147"/>
      <c r="K31" s="140"/>
      <c r="L31" s="134"/>
      <c r="M31" s="62"/>
    </row>
    <row r="32" spans="1:15" s="20" customFormat="1" ht="35.1" hidden="1" customHeight="1" outlineLevel="1" x14ac:dyDescent="0.4">
      <c r="A32" s="126" t="s">
        <v>49</v>
      </c>
      <c r="B32" s="56"/>
      <c r="C32" s="49"/>
      <c r="D32" s="57">
        <f t="shared" si="7"/>
        <v>0</v>
      </c>
      <c r="E32" s="49"/>
      <c r="F32" s="49">
        <f t="shared" si="8"/>
        <v>0</v>
      </c>
      <c r="G32" s="29" t="str">
        <f t="shared" si="9"/>
        <v/>
      </c>
      <c r="H32" s="70"/>
      <c r="I32" s="64"/>
      <c r="J32" s="147"/>
      <c r="K32" s="140"/>
      <c r="L32" s="134"/>
      <c r="M32" s="62"/>
    </row>
    <row r="33" spans="1:15" s="20" customFormat="1" ht="35.1" hidden="1" customHeight="1" outlineLevel="1" x14ac:dyDescent="0.4">
      <c r="A33" s="126" t="s">
        <v>50</v>
      </c>
      <c r="B33" s="56"/>
      <c r="C33" s="49"/>
      <c r="D33" s="57">
        <f t="shared" si="7"/>
        <v>0</v>
      </c>
      <c r="E33" s="49"/>
      <c r="F33" s="49">
        <f t="shared" si="8"/>
        <v>0</v>
      </c>
      <c r="G33" s="29" t="str">
        <f t="shared" si="9"/>
        <v/>
      </c>
      <c r="H33" s="70"/>
      <c r="I33" s="64"/>
      <c r="J33" s="147"/>
      <c r="K33" s="140"/>
      <c r="L33" s="134"/>
      <c r="M33" s="62"/>
    </row>
    <row r="34" spans="1:15" s="20" customFormat="1" ht="35.1" hidden="1" customHeight="1" outlineLevel="1" x14ac:dyDescent="0.4">
      <c r="A34" s="126" t="s">
        <v>51</v>
      </c>
      <c r="B34" s="56"/>
      <c r="C34" s="57"/>
      <c r="D34" s="57">
        <f>ROUND(ROUND(B34*C34,2)*1.2,2)</f>
        <v>0</v>
      </c>
      <c r="E34" s="49"/>
      <c r="F34" s="49">
        <f t="shared" si="8"/>
        <v>0</v>
      </c>
      <c r="G34" s="29" t="str">
        <f t="shared" si="9"/>
        <v/>
      </c>
      <c r="H34" s="70"/>
      <c r="I34" s="64"/>
      <c r="J34" s="147"/>
      <c r="K34" s="140"/>
      <c r="L34" s="134"/>
      <c r="M34" s="62"/>
    </row>
    <row r="35" spans="1:15" s="20" customFormat="1" ht="35.1" hidden="1" customHeight="1" outlineLevel="1" x14ac:dyDescent="0.4">
      <c r="A35" s="126" t="s">
        <v>52</v>
      </c>
      <c r="B35" s="56"/>
      <c r="C35" s="57"/>
      <c r="D35" s="57">
        <f t="shared" ref="D35:D36" si="10">ROUND(ROUND(B35*C35,2)*1.2,2)</f>
        <v>0</v>
      </c>
      <c r="E35" s="49"/>
      <c r="F35" s="49">
        <f t="shared" si="8"/>
        <v>0</v>
      </c>
      <c r="G35" s="29" t="str">
        <f t="shared" si="9"/>
        <v/>
      </c>
      <c r="H35" s="70"/>
      <c r="I35" s="64"/>
      <c r="J35" s="147"/>
      <c r="K35" s="140"/>
      <c r="L35" s="134"/>
      <c r="M35" s="62"/>
    </row>
    <row r="36" spans="1:15" s="20" customFormat="1" ht="35.1" hidden="1" customHeight="1" outlineLevel="1" thickBot="1" x14ac:dyDescent="0.45">
      <c r="A36" s="126" t="s">
        <v>53</v>
      </c>
      <c r="B36" s="56"/>
      <c r="C36" s="57"/>
      <c r="D36" s="57">
        <f t="shared" si="10"/>
        <v>0</v>
      </c>
      <c r="E36" s="49"/>
      <c r="F36" s="49">
        <f t="shared" si="8"/>
        <v>0</v>
      </c>
      <c r="G36" s="29" t="str">
        <f t="shared" si="9"/>
        <v/>
      </c>
      <c r="H36" s="70"/>
      <c r="I36" s="64"/>
      <c r="J36" s="148"/>
      <c r="K36" s="141"/>
      <c r="L36" s="135"/>
      <c r="M36" s="62"/>
    </row>
    <row r="37" spans="1:15" s="28" customFormat="1" ht="32.25" customHeight="1" collapsed="1" thickBot="1" x14ac:dyDescent="0.5">
      <c r="A37" s="127" t="s">
        <v>54</v>
      </c>
      <c r="B37" s="25">
        <f>SUM(B25:B36)</f>
        <v>28770</v>
      </c>
      <c r="C37" s="25"/>
      <c r="D37" s="26">
        <f>SUM(D25:D36)</f>
        <v>24544866.84</v>
      </c>
      <c r="E37" s="26">
        <f>SUM(E25:E36)</f>
        <v>18382445.16</v>
      </c>
      <c r="F37" s="26">
        <f>SUM(F25:F36)</f>
        <v>6162421.6799999997</v>
      </c>
      <c r="G37" s="27">
        <f t="shared" si="9"/>
        <v>0.7489323645481224</v>
      </c>
      <c r="H37" s="71"/>
      <c r="J37" s="149"/>
      <c r="K37" s="142"/>
      <c r="L37" s="59">
        <f>SUM(L25:L36)</f>
        <v>18382445.16</v>
      </c>
      <c r="M37" s="61"/>
      <c r="O37" s="175"/>
    </row>
    <row r="38" spans="1:15" hidden="1" outlineLevel="1" x14ac:dyDescent="0.3"/>
    <row r="39" spans="1:15" collapsed="1" x14ac:dyDescent="0.3"/>
  </sheetData>
  <mergeCells count="12">
    <mergeCell ref="A24:G24"/>
    <mergeCell ref="J22:J23"/>
    <mergeCell ref="A1:G1"/>
    <mergeCell ref="A2:G2"/>
    <mergeCell ref="L22:L23"/>
    <mergeCell ref="L5:L6"/>
    <mergeCell ref="J5:J6"/>
    <mergeCell ref="A7:G7"/>
    <mergeCell ref="A6:G6"/>
    <mergeCell ref="K5:K6"/>
    <mergeCell ref="K22:K23"/>
    <mergeCell ref="A23:G23"/>
  </mergeCells>
  <printOptions horizontalCentered="1"/>
  <pageMargins left="0.19685039370078741" right="0.19685039370078741" top="0.39370078740157483" bottom="0.19685039370078741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ЗАГАЛЬНА ТАБЛИЦЯ</vt:lpstr>
      <vt:lpstr>ЗНАМЕНКА</vt:lpstr>
      <vt:lpstr>ОЛЕКСАНДРІЯ</vt:lpstr>
      <vt:lpstr>'ЗАГАЛЬНА ТАБЛИЦЯ'!Область_печати</vt:lpstr>
      <vt:lpstr>ЗНАМЕНКА!Область_печати</vt:lpstr>
      <vt:lpstr>ОЛЕКСАНДРІЯ!Область_печати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2026-05-10T14:09:16Z</dcterms:modified>
</cp:coreProperties>
</file>